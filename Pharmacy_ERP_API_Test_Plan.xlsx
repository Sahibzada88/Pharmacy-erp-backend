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personal projects\pharmacy_erp_backend\"/>
    </mc:Choice>
  </mc:AlternateContent>
  <bookViews>
    <workbookView xWindow="0" yWindow="0" windowWidth="19200" windowHeight="6930" tabRatio="500" firstSheet="3" activeTab="9"/>
  </bookViews>
  <sheets>
    <sheet name="Summary" sheetId="1" r:id="rId1"/>
    <sheet name="Auth" sheetId="2" r:id="rId2"/>
    <sheet name="Branches" sheetId="3" r:id="rId3"/>
    <sheet name="Inventory" sheetId="4" r:id="rId4"/>
    <sheet name="Suppliers" sheetId="5" r:id="rId5"/>
    <sheet name="Sales-POS" sheetId="6" r:id="rId6"/>
    <sheet name="Finance" sheetId="7" r:id="rId7"/>
    <sheet name="CRM" sheetId="8" r:id="rId8"/>
    <sheet name="Analytics" sheetId="9" r:id="rId9"/>
    <sheet name="RBAC" sheetId="10" r:id="rId10"/>
  </sheets>
  <definedNames>
    <definedName name="_xlnm._FilterDatabase" localSheetId="8" hidden="1">Analytics!$A$4:$O$24</definedName>
    <definedName name="_xlnm._FilterDatabase" localSheetId="1" hidden="1">Auth!$A$4:$O$25</definedName>
    <definedName name="_xlnm._FilterDatabase" localSheetId="2" hidden="1">Branches!$A$4:$O$12</definedName>
    <definedName name="_xlnm._FilterDatabase" localSheetId="7" hidden="1">CRM!$A$4:$O$11</definedName>
    <definedName name="_xlnm._FilterDatabase" localSheetId="6" hidden="1">Finance!$A$4:$O$16</definedName>
    <definedName name="_xlnm._FilterDatabase" localSheetId="3" hidden="1">Inventory!$A$4:$O$23</definedName>
    <definedName name="_xlnm._FilterDatabase" localSheetId="9" hidden="1">RBAC!$A$4:$O$15</definedName>
    <definedName name="_xlnm._FilterDatabase" localSheetId="5" hidden="1">'Sales-POS'!$A$4:$O$19</definedName>
    <definedName name="_xlnm._FilterDatabase" localSheetId="4" hidden="1">Suppliers!$A$4:$O$18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" l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E5" i="1"/>
  <c r="D5" i="1"/>
  <c r="C5" i="1"/>
  <c r="B5" i="1"/>
  <c r="B14" i="1" s="1"/>
  <c r="G13" i="1" l="1"/>
  <c r="G10" i="1"/>
  <c r="G12" i="1"/>
  <c r="G11" i="1"/>
  <c r="G9" i="1"/>
  <c r="G8" i="1"/>
  <c r="G7" i="1"/>
  <c r="G6" i="1"/>
  <c r="C14" i="1"/>
  <c r="D14" i="1"/>
  <c r="F14" i="1"/>
  <c r="E14" i="1"/>
  <c r="G5" i="1"/>
  <c r="G14" i="1" l="1"/>
</calcChain>
</file>

<file path=xl/sharedStrings.xml><?xml version="1.0" encoding="utf-8"?>
<sst xmlns="http://schemas.openxmlformats.org/spreadsheetml/2006/main" count="1740" uniqueCount="827">
  <si>
    <t>Pharmacy Chain ERP — Full API Test Plan</t>
  </si>
  <si>
    <t>One sheet per module. Fill in 'Actual Result', set 'Status', 'Tested By' and 'Date Tested' on each tab as you go — the counts below update automatically.</t>
  </si>
  <si>
    <t>Module / Tab</t>
  </si>
  <si>
    <t>Total Test Cases</t>
  </si>
  <si>
    <t>Pass</t>
  </si>
  <si>
    <t>Fail</t>
  </si>
  <si>
    <t>Blocked</t>
  </si>
  <si>
    <t>Not Tested</t>
  </si>
  <si>
    <t>% Complete</t>
  </si>
  <si>
    <t>Auth</t>
  </si>
  <si>
    <t>Branches</t>
  </si>
  <si>
    <t>Inventory</t>
  </si>
  <si>
    <t>Suppliers</t>
  </si>
  <si>
    <t>Sales-POS</t>
  </si>
  <si>
    <t>Finance</t>
  </si>
  <si>
    <t>CRM</t>
  </si>
  <si>
    <t>Analytics</t>
  </si>
  <si>
    <t>RBAC</t>
  </si>
  <si>
    <t>TOTAL</t>
  </si>
  <si>
    <t>Legend / Notes:</t>
  </si>
  <si>
    <t>• 'Not Tested' is the default Status on every row — change it via the dropdown in column L of each module sheet as you test.</t>
  </si>
  <si>
    <t>• Replace placeholders like {id}, &lt;medicine_id&gt;, &lt;refresh_token&gt; etc. in Sample Request Body with real values from your own test data.</t>
  </si>
  <si>
    <t>• Seeded demo accounts (run 'python manage.py seed_demo_data'): owner / Owner@12345, manager1 / Manager@12345, cashier1 / Cashier@12345, accountant1 / Accountant@12345, pharmacist1 / Pharmacist@12345.</t>
  </si>
  <si>
    <t>• All Analytics endpoints depend on the Postgres stored procedures in /sql — run those first if you see 500 errors there.</t>
  </si>
  <si>
    <t>• RBAC sheet cases should be repeated against EVERY role listed, not just one — log each role's result separately in 'Notes' if the Status column only fits one outcome.</t>
  </si>
  <si>
    <t>Pharmacy Chain ERP — API Test Plan: Auth</t>
  </si>
  <si>
    <t>Login, JWT tokens, staff/user management. Test with the 5 seeded demo accounts (owner / manager1 / cashier1 / accountant1 / pharmacist1).</t>
  </si>
  <si>
    <t>Test ID</t>
  </si>
  <si>
    <t>Module</t>
  </si>
  <si>
    <t>Endpoint</t>
  </si>
  <si>
    <t>Method</t>
  </si>
  <si>
    <t>Test Scenario</t>
  </si>
  <si>
    <t>Role / User</t>
  </si>
  <si>
    <t>Preconditions</t>
  </si>
  <si>
    <t>Sample Request Body</t>
  </si>
  <si>
    <t>Expected Status</t>
  </si>
  <si>
    <t>Expected Result</t>
  </si>
  <si>
    <t>Actual Result</t>
  </si>
  <si>
    <t>Status</t>
  </si>
  <si>
    <t>Bug / Notes</t>
  </si>
  <si>
    <t>Tested By</t>
  </si>
  <si>
    <t>Date Tested</t>
  </si>
  <si>
    <t>AUTH-01</t>
  </si>
  <si>
    <t>/api/auth/login/</t>
  </si>
  <si>
    <t>POST</t>
  </si>
  <si>
    <t>Login with valid Owner credentials</t>
  </si>
  <si>
    <t>Owner</t>
  </si>
  <si>
    <t>Seed data run (seed_demo_data)</t>
  </si>
  <si>
    <t>{"username":"owner","password":"Owner@12345"}</t>
  </si>
  <si>
    <t>200</t>
  </si>
  <si>
    <t>Returns access, refresh tokens + user object with role=OWNER, branch=null</t>
  </si>
  <si>
    <t>AUTH-02</t>
  </si>
  <si>
    <t>Login with valid Cashier credentials</t>
  </si>
  <si>
    <t>Cashier</t>
  </si>
  <si>
    <t>Seed data run</t>
  </si>
  <si>
    <t>{"username":"cashier1","password":"Cashier@12345"}</t>
  </si>
  <si>
    <t>Returns tokens + user object with role=CASHIER, branch=1</t>
  </si>
  <si>
    <t>AUTH-03</t>
  </si>
  <si>
    <t>Login with wrong password</t>
  </si>
  <si>
    <t>Any</t>
  </si>
  <si>
    <t>None</t>
  </si>
  <si>
    <t>{"username":"owner","password":"WrongPass123"}</t>
  </si>
  <si>
    <t>401</t>
  </si>
  <si>
    <t>Returns 'No active account found with the given credentials'</t>
  </si>
  <si>
    <t>AUTH-04</t>
  </si>
  <si>
    <t>Login with non-existent username</t>
  </si>
  <si>
    <t>{"username":"doesnotexist","password":"x"}</t>
  </si>
  <si>
    <t>Same generic invalid-credentials error (no user enumeration)</t>
  </si>
  <si>
    <t>AUTH-05</t>
  </si>
  <si>
    <t>Login with missing password field</t>
  </si>
  <si>
    <t>{"username":"owner"}</t>
  </si>
  <si>
    <t>400</t>
  </si>
  <si>
    <t>Validation error: password field required</t>
  </si>
  <si>
    <t>AUTH-06</t>
  </si>
  <si>
    <t>/api/auth/me/</t>
  </si>
  <si>
    <t>GET</t>
  </si>
  <si>
    <t>Fetch own profile with valid access token</t>
  </si>
  <si>
    <t>Any logged-in role</t>
  </si>
  <si>
    <t>Valid access token in Authorization header</t>
  </si>
  <si>
    <t>(no body — Bearer token only)</t>
  </si>
  <si>
    <t>Returns id, username, role, branch, branch_name, phone, etc.</t>
  </si>
  <si>
    <t>AUTH-07</t>
  </si>
  <si>
    <t>Fetch profile with no token</t>
  </si>
  <si>
    <t>N/A</t>
  </si>
  <si>
    <t>Remove Authorization header</t>
  </si>
  <si>
    <t>(no auth header)</t>
  </si>
  <si>
    <t>'Authentication credentials were not provided.'</t>
  </si>
  <si>
    <t>AUTH-08</t>
  </si>
  <si>
    <t>Fetch profile with expired/invalid token</t>
  </si>
  <si>
    <t>Use a garbage/expired JWT</t>
  </si>
  <si>
    <t>Authorization: Bearer invalidtoken123</t>
  </si>
  <si>
    <t>Token error message</t>
  </si>
  <si>
    <t>AUTH-09</t>
  </si>
  <si>
    <t>/api/auth/token/refresh/</t>
  </si>
  <si>
    <t>Refresh access token using valid refresh token</t>
  </si>
  <si>
    <t>Have a valid refresh token from login</t>
  </si>
  <si>
    <t>{"refresh":"&lt;refresh_token&gt;"}</t>
  </si>
  <si>
    <t>Returns a new access token (and rotated refresh token, old one blacklisted)</t>
  </si>
  <si>
    <t>AUTH-10</t>
  </si>
  <si>
    <t>Reuse an already-rotated (blacklisted) refresh token</t>
  </si>
  <si>
    <t>Use the OLD refresh token after AUTH-09 already rotated it</t>
  </si>
  <si>
    <t>{"refresh":"&lt;old_refresh_token&gt;"}</t>
  </si>
  <si>
    <t>Token blacklisted / invalid error</t>
  </si>
  <si>
    <t>AUTH-11</t>
  </si>
  <si>
    <t>/api/auth/change-password/</t>
  </si>
  <si>
    <t>Change own password with correct old password</t>
  </si>
  <si>
    <t>Know current password</t>
  </si>
  <si>
    <t>{"old_password":"Cashier@12345","new_password":"NewPass@2026"}</t>
  </si>
  <si>
    <t>'Password updated successfully.' — can log in with new password afterward</t>
  </si>
  <si>
    <t>AUTH-12</t>
  </si>
  <si>
    <t>Change password with wrong old password</t>
  </si>
  <si>
    <t>{"old_password":"WrongOld","new_password":"NewPass@2026"}</t>
  </si>
  <si>
    <t>'Old password is incorrect.'</t>
  </si>
  <si>
    <t>AUTH-13</t>
  </si>
  <si>
    <t>Change password to a weak/common password</t>
  </si>
  <si>
    <t>{"old_password":"Cashier@12345","new_password":"12345"}</t>
  </si>
  <si>
    <t>Django password validators reject it (too short/common/numeric)</t>
  </si>
  <si>
    <t>AUTH-14</t>
  </si>
  <si>
    <t>/api/auth/staff/</t>
  </si>
  <si>
    <t>Owner lists all staff across all branches</t>
  </si>
  <si>
    <t>Multiple staff exist across branches</t>
  </si>
  <si>
    <t>(no body)</t>
  </si>
  <si>
    <t>Returns staff list from ALL branches, excluding OWNER role accounts</t>
  </si>
  <si>
    <t>AUTH-15</t>
  </si>
  <si>
    <t>Manager lists staff — should see own branch only</t>
  </si>
  <si>
    <t>Manager</t>
  </si>
  <si>
    <t>Staff exist in multiple branches</t>
  </si>
  <si>
    <t>Only staff whose branch == manager's own branch are returned</t>
  </si>
  <si>
    <t>AUTH-16</t>
  </si>
  <si>
    <t>Cashier tries to list staff</t>
  </si>
  <si>
    <t>403</t>
  </si>
  <si>
    <t>Permission denied — only Owner/Manager can view staff list</t>
  </si>
  <si>
    <t>AUTH-17</t>
  </si>
  <si>
    <t>Owner creates a new Cashier for a specific branch</t>
  </si>
  <si>
    <t>Branch already exists</t>
  </si>
  <si>
    <t>{"username":"cashier2","password":"Cashier2@123","role":"CASHIER","branch":1,"first_name":"Ahmed","last_name":"Khan"}</t>
  </si>
  <si>
    <t>201</t>
  </si>
  <si>
    <t>New user created, is_active_staff=true, role=CASHIER, branch=1</t>
  </si>
  <si>
    <t>AUTH-18</t>
  </si>
  <si>
    <t>Manager creates staff — branch auto-assigned to manager's own branch even if a different branch id is sent</t>
  </si>
  <si>
    <t>{"username":"pharm2","password":"Pharm2@123","role":"PHARMACIST","branch":99}</t>
  </si>
  <si>
    <t>User created with branch = manager's own branch (branch=99 ignored/overridden)</t>
  </si>
  <si>
    <t>AUTH-19</t>
  </si>
  <si>
    <t>Attempt to create another OWNER via this endpoint</t>
  </si>
  <si>
    <t>{"username":"owner2","password":"Owner2@123","role":"OWNER"}</t>
  </si>
  <si>
    <t>Validation error: 'Cannot create another OWNER account via this endpoint.'</t>
  </si>
  <si>
    <t>AUTH-20</t>
  </si>
  <si>
    <t>/api/auth/staff/{id}/</t>
  </si>
  <si>
    <t>PATCH</t>
  </si>
  <si>
    <t>Update a staff member's phone number</t>
  </si>
  <si>
    <t>Owner/Manager</t>
  </si>
  <si>
    <t>Staff id exists</t>
  </si>
  <si>
    <t>{"phone":"03001234567"}</t>
  </si>
  <si>
    <t>Phone updated, other fields unchanged</t>
  </si>
  <si>
    <t>AUTH-21</t>
  </si>
  <si>
    <t>DELETE</t>
  </si>
  <si>
    <t>Deactivate/remove a staff account</t>
  </si>
  <si>
    <t>204</t>
  </si>
  <si>
    <t>Staff record deleted; that user can no longer log in</t>
  </si>
  <si>
    <t>Pharmacy Chain ERP — API Test Plan: Branches</t>
  </si>
  <si>
    <t>Multi-branch chain management — opening/closing pharmacy locations. Owner-only write access.</t>
  </si>
  <si>
    <t>BR-01</t>
  </si>
  <si>
    <t>/api/branches/</t>
  </si>
  <si>
    <t>Owner lists all branches</t>
  </si>
  <si>
    <t>At least 2 branches exist</t>
  </si>
  <si>
    <t>Returns every branch in the chain with staff_count</t>
  </si>
  <si>
    <t>BR-02</t>
  </si>
  <si>
    <t>Cashier lists branches — should only see own branch</t>
  </si>
  <si>
    <t>Multiple branches exist</t>
  </si>
  <si>
    <t>Response contains exactly 1 branch: the cashier's own</t>
  </si>
  <si>
    <t>BR-03</t>
  </si>
  <si>
    <t>Owner opens a new branch</t>
  </si>
  <si>
    <t>{"name":"North Town Branch","code":"NTH-02","city":"Rawalpindi","address":"Main Blvd","phone":"0512345678"}</t>
  </si>
  <si>
    <t>New branch created with is_active=true</t>
  </si>
  <si>
    <t>BR-04</t>
  </si>
  <si>
    <t>Non-owner (manager/cashier) tries to create a branch</t>
  </si>
  <si>
    <t>{"name":"Illegal Branch","code":"ILL-01"}</t>
  </si>
  <si>
    <t>'Only the owner can perform this action.'</t>
  </si>
  <si>
    <t>BR-05</t>
  </si>
  <si>
    <t>Create branch with duplicate code</t>
  </si>
  <si>
    <t>A branch with code MAIN-01 already exists</t>
  </si>
  <si>
    <t>{"name":"Duplicate","code":"MAIN-01"}</t>
  </si>
  <si>
    <t>Validation error: branch with this code already exists</t>
  </si>
  <si>
    <t>BR-06</t>
  </si>
  <si>
    <t>/api/branches/{id}/</t>
  </si>
  <si>
    <t>Fetch single branch detail</t>
  </si>
  <si>
    <t>Branch id exists</t>
  </si>
  <si>
    <t>Full branch object returned</t>
  </si>
  <si>
    <t>BR-07</t>
  </si>
  <si>
    <t>Owner deactivates a branch (closing a location)</t>
  </si>
  <si>
    <t>{"is_active":false}</t>
  </si>
  <si>
    <t>is_active becomes false</t>
  </si>
  <si>
    <t>BR-08</t>
  </si>
  <si>
    <t>Owner deletes a branch</t>
  </si>
  <si>
    <t>Branch has no critical linked data (or test cascading behavior)</t>
  </si>
  <si>
    <t>204 or 400</t>
  </si>
  <si>
    <t>Deleted, OR blocked if protected FKs exist — verify which and document actual behavior</t>
  </si>
  <si>
    <t>Pharmacy Chain ERP — API Test Plan: Inventory</t>
  </si>
  <si>
    <t>Medicines catalog, batches (FEFO/expiry), stock movements, adjustments and inter-branch transfers.</t>
  </si>
  <si>
    <t>INV-01</t>
  </si>
  <si>
    <t>/api/inventory/categories/</t>
  </si>
  <si>
    <t>List medicine categories</t>
  </si>
  <si>
    <t>At least 1 category exists</t>
  </si>
  <si>
    <t>Array of categories returned</t>
  </si>
  <si>
    <t>INV-02</t>
  </si>
  <si>
    <t>Pharmacist creates a new category</t>
  </si>
  <si>
    <t>Pharmacist</t>
  </si>
  <si>
    <t>{"name":"Antibiotics","description":"Antibiotic medicines"}</t>
  </si>
  <si>
    <t>Category created</t>
  </si>
  <si>
    <t>INV-03</t>
  </si>
  <si>
    <t>Cashier tries to create a category (should be denied)</t>
  </si>
  <si>
    <t>{"name":"Should Fail"}</t>
  </si>
  <si>
    <t>Permission denied — only pharmacist/manager/owner can manage categories</t>
  </si>
  <si>
    <t>INV-04</t>
  </si>
  <si>
    <t>/api/inventory/manufacturers/</t>
  </si>
  <si>
    <t>Create a manufacturer</t>
  </si>
  <si>
    <t>{"name":"GSK Pakistan","country":"Pakistan"}</t>
  </si>
  <si>
    <t>Manufacturer created</t>
  </si>
  <si>
    <t>INV-05</t>
  </si>
  <si>
    <t>/api/inventory/medicines/</t>
  </si>
  <si>
    <t>Search medicines by name/generic/sku</t>
  </si>
  <si>
    <t>Medicine 'Paracetamol 500mg' exists</t>
  </si>
  <si>
    <t>?search=paracetamol</t>
  </si>
  <si>
    <t>Returns matching medicines only</t>
  </si>
  <si>
    <t>INV-06</t>
  </si>
  <si>
    <t>Filter medicines by category &amp; active status</t>
  </si>
  <si>
    <t>Categories assigned to medicines</t>
  </si>
  <si>
    <t>?category=1&amp;is_active=true</t>
  </si>
  <si>
    <t>Only active medicines in category 1 returned</t>
  </si>
  <si>
    <t>INV-07</t>
  </si>
  <si>
    <t>Create a new medicine (master catalog entry)</t>
  </si>
  <si>
    <t>Category &amp; manufacturer exist</t>
  </si>
  <si>
    <t>{"name":"Amoxicillin 500mg","sku":"AMX-500","category":1,"manufacturer":1,"unit_type":"CAPSULE","reorder_level":20,"requires_prescription":true}</t>
  </si>
  <si>
    <t>Medicine created with is_active=true by default</t>
  </si>
  <si>
    <t>INV-08</t>
  </si>
  <si>
    <t>Create medicine with duplicate SKU</t>
  </si>
  <si>
    <t>SKU 'AMX-500' already exists</t>
  </si>
  <si>
    <t>{"name":"Duplicate","sku":"AMX-500"}</t>
  </si>
  <si>
    <t>Validation error: sku must be unique</t>
  </si>
  <si>
    <t>INV-09</t>
  </si>
  <si>
    <t>/api/inventory/medicines/{id}/</t>
  </si>
  <si>
    <t>Fetch medicine detail with branch-scoped total_stock</t>
  </si>
  <si>
    <t>Batches exist for this medicine</t>
  </si>
  <si>
    <t>?branch=1</t>
  </si>
  <si>
    <t>total_stock reflects sum of quantity_remaining for branch 1 only</t>
  </si>
  <si>
    <t>INV-10</t>
  </si>
  <si>
    <t>/api/inventory/medicines/low_stock/</t>
  </si>
  <si>
    <t>List medicines at/below reorder level for a branch</t>
  </si>
  <si>
    <t>Owner/Manager/Pharmacist</t>
  </si>
  <si>
    <t>At least one medicine's stock &lt;= reorder_level</t>
  </si>
  <si>
    <t>Returns list with medicine_id, name, sku, total_stock, reorder_level</t>
  </si>
  <si>
    <t>INV-11</t>
  </si>
  <si>
    <t>/api/inventory/batches/</t>
  </si>
  <si>
    <t>List batches filtered by branch/medicine, ordered by expiry</t>
  </si>
  <si>
    <t>Batches exist</t>
  </si>
  <si>
    <t>?branch=1&amp;medicine=1&amp;ordering=expiry_date</t>
  </si>
  <si>
    <t>Batches sorted soonest-expiry-first</t>
  </si>
  <si>
    <t>INV-12</t>
  </si>
  <si>
    <t>Manually create a batch (outside PO flow)</t>
  </si>
  <si>
    <t>Medicine &amp; branch exist</t>
  </si>
  <si>
    <t>{"medicine":1,"branch":1,"batch_number":"MANUAL-001","quantity_received":50,"quantity_remaining":50,"cost_price":"8.00","sale_price":"12.00","expiry_date":"2027-06-30"}</t>
  </si>
  <si>
    <t>Batch created and appears in stock totals</t>
  </si>
  <si>
    <t>INV-13</t>
  </si>
  <si>
    <t>Cashier tries to create a batch directly (should be denied)</t>
  </si>
  <si>
    <t>{"medicine":1,"branch":1,"batch_number":"X","quantity_received":1,"quantity_remaining":1,"cost_price":"1","sale_price":"2","expiry_date":"2027-01-01"}</t>
  </si>
  <si>
    <t>Permission denied</t>
  </si>
  <si>
    <t>INV-14</t>
  </si>
  <si>
    <t>/api/inventory/batches/expiring_soon/</t>
  </si>
  <si>
    <t>List batches expiring within N days</t>
  </si>
  <si>
    <t>At least one batch expiring within 60 days</t>
  </si>
  <si>
    <t>?days=60&amp;branch=1</t>
  </si>
  <si>
    <t>Only batches with expiry_date &lt;= today+60 returned</t>
  </si>
  <si>
    <t>INV-15</t>
  </si>
  <si>
    <t>/api/inventory/batches/adjust/</t>
  </si>
  <si>
    <t>Write off damaged stock from a batch</t>
  </si>
  <si>
    <t>Batch has quantity_remaining &gt; 0</t>
  </si>
  <si>
    <t>{"batch":1,"quantity":5,"movement_type":"DAMAGED_WRITE_OFF","note":"Water damage"}</t>
  </si>
  <si>
    <t>Batch quantity_remaining reduced by 5; StockMovement record created with quantity=-5</t>
  </si>
  <si>
    <t>INV-16</t>
  </si>
  <si>
    <t>Attempt to adjust more than available quantity</t>
  </si>
  <si>
    <t>Batch has less stock than requested</t>
  </si>
  <si>
    <t>{"batch":1,"quantity":999999,"movement_type":"ADJUSTMENT"}</t>
  </si>
  <si>
    <t>'Adjustment quantity exceeds remaining stock.'</t>
  </si>
  <si>
    <t>INV-17</t>
  </si>
  <si>
    <t>/api/inventory/batches/transfer/</t>
  </si>
  <si>
    <t>Transfer stock of a batch from Branch A to Branch B</t>
  </si>
  <si>
    <t>Batch in Branch A has enough stock; Branch B exists</t>
  </si>
  <si>
    <t>{"batch":1,"to_branch":2,"quantity":10}</t>
  </si>
  <si>
    <t>Source batch reduced by 10, new batch created in Branch B with same cost/expiry, both StockMovements (TRANSFER_OUT/TRANSFER_IN) logged</t>
  </si>
  <si>
    <t>INV-18</t>
  </si>
  <si>
    <t>Transfer to the same branch (invalid)</t>
  </si>
  <si>
    <t>batch.branch == to_branch</t>
  </si>
  <si>
    <t>{"batch":1,"to_branch":1,"quantity":5}</t>
  </si>
  <si>
    <t>'Source and destination branch are the same.'</t>
  </si>
  <si>
    <t>INV-19</t>
  </si>
  <si>
    <t>/api/inventory/stock-movements/</t>
  </si>
  <si>
    <t>View full stock audit trail for a branch</t>
  </si>
  <si>
    <t>Movements exist (from POS sales, adjustments, transfers, PO receipts)</t>
  </si>
  <si>
    <t>?branch=1&amp;ordering=-created_at</t>
  </si>
  <si>
    <t>Chronological list of every stock change with movement_type, quantity, reference</t>
  </si>
  <si>
    <t>Suppliers, Purchase Orders, receiving stock into inventory, and manual supplier payment entries (accounts payable).</t>
  </si>
  <si>
    <t>SUP-01</t>
  </si>
  <si>
    <t>/api/suppliers/suppliers/</t>
  </si>
  <si>
    <t>Search suppliers by name</t>
  </si>
  <si>
    <t>At least 1 supplier exists</t>
  </si>
  <si>
    <t>?search=demo</t>
  </si>
  <si>
    <t>Matching suppliers returned, each with total_payable computed</t>
  </si>
  <si>
    <t>SUP-02</t>
  </si>
  <si>
    <t>Create a new supplier</t>
  </si>
  <si>
    <t>{"name":"MediCorp Distributors","contact_person":"Bilal","phone":"03001112222"}</t>
  </si>
  <si>
    <t>Supplier created</t>
  </si>
  <si>
    <t>SUP-03</t>
  </si>
  <si>
    <t>Cashier tries to create a supplier (denied)</t>
  </si>
  <si>
    <t>SUP-04</t>
  </si>
  <si>
    <t>/api/suppliers/purchase-orders/</t>
  </si>
  <si>
    <t>Create a Purchase Order with 2 line items (no branch field sent, non-owner)</t>
  </si>
  <si>
    <t>Supplier &amp; medicines exist</t>
  </si>
  <si>
    <t>{"supplier":1,"po_number":"PO-1001","items":[{"medicine":1,"quantity_ordered":100,"unit_cost":"8.00","unit_sale_price":"12.00","batch_number":"B-1001","expiry_date":"2027-05-01"},{"medicine":2,"quantity_ordered":50,"unit_cost":"5.00","unit_sale_price":"8.00"}]}</t>
  </si>
  <si>
    <t>PO created with branch auto-assigned to manager's branch, status=DRAFT, 2 items nested</t>
  </si>
  <si>
    <t>SUP-05</t>
  </si>
  <si>
    <t>Owner creates PO WITHOUT specifying branch (should now fail cleanly)</t>
  </si>
  <si>
    <t>{"supplier":1,"po_number":"PO-1002","items":[{"medicine":1,"quantity_ordered":10,"unit_cost":"8.00","unit_sale_price":"12.00"}]}</t>
  </si>
  <si>
    <t>Clear validation error: 'Owner must specify a branch explicitly...' (NOT a 500 crash)</t>
  </si>
  <si>
    <t>SUP-06</t>
  </si>
  <si>
    <t>Owner creates PO WITH branch specified</t>
  </si>
  <si>
    <t>Branch id known</t>
  </si>
  <si>
    <t>{"branch":1,"supplier":1,"po_number":"PO-1003","items":[{"medicine":1,"quantity_ordered":10,"unit_cost":"8.00","unit_sale_price":"12.00"}]}</t>
  </si>
  <si>
    <t>PO created for the specified branch</t>
  </si>
  <si>
    <t>SUP-07</t>
  </si>
  <si>
    <t>List POs filtered by status</t>
  </si>
  <si>
    <t>POs in different statuses exist</t>
  </si>
  <si>
    <t>?branch=1&amp;status=DRAFT&amp;ordering=-created_at</t>
  </si>
  <si>
    <t>Only DRAFT POs for branch 1 returned, with total_amount/amount_paid/balance_due computed</t>
  </si>
  <si>
    <t>SUP-08</t>
  </si>
  <si>
    <t>/api/suppliers/purchase-orders/{id}/receive/</t>
  </si>
  <si>
    <t>Fully receive a PO — verify inventory batches auto-created</t>
  </si>
  <si>
    <t>PO in DRAFT/ORDERED status with items</t>
  </si>
  <si>
    <t>{} (receive all remaining items)</t>
  </si>
  <si>
    <t>PO status becomes RECEIVED, received_date set; a Batch + StockMovement(PURCHASE_IN) created per item automatically</t>
  </si>
  <si>
    <t>SUP-09</t>
  </si>
  <si>
    <t>Partially receive only specific item_ids</t>
  </si>
  <si>
    <t>PO has 2+ items</t>
  </si>
  <si>
    <t>{"item_ids":[3]}</t>
  </si>
  <si>
    <t>Only item 3 marked received; PO status becomes PARTIALLY_RECEIVED</t>
  </si>
  <si>
    <t>SUP-10</t>
  </si>
  <si>
    <t>Re-receive an already fully-received PO</t>
  </si>
  <si>
    <t>PO already RECEIVED</t>
  </si>
  <si>
    <t>{}</t>
  </si>
  <si>
    <t>No duplicate batches created (quantity_received already == quantity_ordered), 0 batches returned</t>
  </si>
  <si>
    <t>SUP-11</t>
  </si>
  <si>
    <t>/api/suppliers/payments/</t>
  </si>
  <si>
    <t>Record a payment to a supplier (manual entry, no branch sent, as manager)</t>
  </si>
  <si>
    <t>Supplier &amp; PO exist</t>
  </si>
  <si>
    <t>{"supplier":1,"purchase_order":1,"bank_account":1,"amount":"500.00","method":"BANK_TRANSFER","reference_number":"TRX-9001"}</t>
  </si>
  <si>
    <t>Payment recorded; branch auto-set to manager's branch</t>
  </si>
  <si>
    <t>SUP-12</t>
  </si>
  <si>
    <t>Owner records a cash payment to supplier without specifying branch</t>
  </si>
  <si>
    <t>{"supplier":1,"amount":"200.00","method":"CASH"}</t>
  </si>
  <si>
    <t>Clear validation error requiring branch for owner (not a crash)</t>
  </si>
  <si>
    <t>SUP-13</t>
  </si>
  <si>
    <t>Filter supplier payments by method</t>
  </si>
  <si>
    <t>Owner/Accountant</t>
  </si>
  <si>
    <t>Payments of multiple methods exist</t>
  </si>
  <si>
    <t>?branch=1&amp;method=BANK_TRANSFER</t>
  </si>
  <si>
    <t>Only BANK_TRANSFER payments for branch 1 returned</t>
  </si>
  <si>
    <t>SUP-14</t>
  </si>
  <si>
    <t>Cashier attempts to record a supplier payment (denied)</t>
  </si>
  <si>
    <t>{"supplier":1,"amount":"100.00","method":"CASH"}</t>
  </si>
  <si>
    <t>Permission denied — only owner/accountant can record supplier payments</t>
  </si>
  <si>
    <t>Pharmacy Chain ERP — API Test Plan: Sales-POS</t>
  </si>
  <si>
    <t>Point-of-sale checkout, multi-payment split, returns, and invoice history. Core revenue-generating flow.</t>
  </si>
  <si>
    <t>POS-01</t>
  </si>
  <si>
    <t>/api/sales/checkout/</t>
  </si>
  <si>
    <t>Cashier completes a simple 1-item cash sale</t>
  </si>
  <si>
    <t>Batch has stock &gt;= quantity, sale_price known</t>
  </si>
  <si>
    <t>{"customer":null,"items":[{"medicine_id":1,"quantity":1,"batch_id":1}],"payments":[{"method":"CASH","amount":"15.00"}]}</t>
  </si>
  <si>
    <t>Invoice created, total_amount=15.00, batch.quantity_remaining reduced by 1, StockMovement(SALE_OUT) logged</t>
  </si>
  <si>
    <t>POS-02</t>
  </si>
  <si>
    <t>Owner completes a sale — must specify branch explicitly</t>
  </si>
  <si>
    <t>Owner has no home branch</t>
  </si>
  <si>
    <t>{"branch":1,"items":[{"medicine_id":1,"quantity":1}],"payments":[{"method":"CASH","amount":"15.00"}]}</t>
  </si>
  <si>
    <t>Sale created for branch 1 with owner as cashier</t>
  </si>
  <si>
    <t>POS-03</t>
  </si>
  <si>
    <t>Owner completes a sale WITHOUT specifying branch (should fail cleanly)</t>
  </si>
  <si>
    <t>{"items":[{"medicine_id":1,"quantity":1}],"payments":[{"method":"CASH","amount":"15.00"}]}</t>
  </si>
  <si>
    <t>'Owner has no home branch — specify which branch...' (not a 500 error)</t>
  </si>
  <si>
    <t>POS-04</t>
  </si>
  <si>
    <t>Multi-item cart with FEFO auto batch selection (no batch_id given)</t>
  </si>
  <si>
    <t>Medicine has 2+ batches with different expiry dates</t>
  </si>
  <si>
    <t>{"items":[{"medicine_id":1,"quantity":5}],"payments":[{"method":"CASH","amount":"75.00"}]}</t>
  </si>
  <si>
    <t>Stock deducted from the soonest-expiring batch first; if it lacks enough quantity, spills into the next batch</t>
  </si>
  <si>
    <t>POS-05</t>
  </si>
  <si>
    <t>Split payment across CASH + BANK_TRANSFER</t>
  </si>
  <si>
    <t>Sale total known in advance</t>
  </si>
  <si>
    <t>{"items":[{"medicine_id":1,"quantity":2}],"payments":[{"method":"CASH","amount":"20.00"},{"method":"BANK_TRANSFER","amount":"10.00","bank_account":1}]}</t>
  </si>
  <si>
    <t>Both SalePayment rows created; sum matches total_amount</t>
  </si>
  <si>
    <t>POS-06</t>
  </si>
  <si>
    <t>Payment total does NOT match sale total</t>
  </si>
  <si>
    <t>{"items":[{"medicine_id":1,"quantity":1}],"payments":[{"method":"CASH","amount":"5.00"}]}</t>
  </si>
  <si>
    <t>'Payment total (5.00) does not match sale total (15.00).' — sale is rolled back entirely (atomic transaction)</t>
  </si>
  <si>
    <t>POS-07</t>
  </si>
  <si>
    <t>Request more quantity than available stock</t>
  </si>
  <si>
    <t>Requested quantity &gt; total available across all batches</t>
  </si>
  <si>
    <t>{"items":[{"medicine_id":1,"quantity":999999}],"payments":[{"method":"CASH","amount":"1.00"}]}</t>
  </si>
  <si>
    <t>'Insufficient stock for medicine id=1...'</t>
  </si>
  <si>
    <t>POS-08</t>
  </si>
  <si>
    <t>Request a medicine with zero batches at this branch</t>
  </si>
  <si>
    <t>Medicine exists but has no batch at cashier's branch</t>
  </si>
  <si>
    <t>{"items":[{"medicine_id":&lt;medicine_with_no_stock&gt;,"quantity":1}],"payments":[{"method":"CASH","amount":"1.00"}]}</t>
  </si>
  <si>
    <t>'No available stock for medicine id=...'</t>
  </si>
  <si>
    <t>POS-09</t>
  </si>
  <si>
    <t>Empty cart submitted</t>
  </si>
  <si>
    <t>{"items":[],"payments":[{"method":"CASH","amount":"0"}]}</t>
  </si>
  <si>
    <t>'Cart cannot be empty.'</t>
  </si>
  <si>
    <t>POS-10</t>
  </si>
  <si>
    <t>Attach an existing customer to the sale (loyalty context)</t>
  </si>
  <si>
    <t>Customer exists</t>
  </si>
  <si>
    <t>{"customer":1,"items":[{"medicine_id":1,"quantity":1}],"payments":[{"method":"CASH","amount":"15.00"}]}</t>
  </si>
  <si>
    <t>Sale linked to customer_id=1</t>
  </si>
  <si>
    <t>POS-11</t>
  </si>
  <si>
    <t>/api/sales/returns/</t>
  </si>
  <si>
    <t>Return part of a sold item's quantity</t>
  </si>
  <si>
    <t>A completed sale/sale_item exists with quantity&gt;quantity_returned</t>
  </si>
  <si>
    <t>{"sale_item":1,"quantity":1,"reason":"Customer changed mind"}</t>
  </si>
  <si>
    <t>quantity_returned incremented, batch.quantity_remaining restored, sale.status becomes PARTIALLY_RETURNED or RETURNED, refund_amount calculated</t>
  </si>
  <si>
    <t>POS-12</t>
  </si>
  <si>
    <t>Attempt to return more than the remaining returnable quantity</t>
  </si>
  <si>
    <t>sale_item already fully returned or over-request</t>
  </si>
  <si>
    <t>{"sale_item":1,"quantity":9999}</t>
  </si>
  <si>
    <t>'Cannot return more than N remaining units.'</t>
  </si>
  <si>
    <t>POS-13</t>
  </si>
  <si>
    <t>/api/sales/invoices/</t>
  </si>
  <si>
    <t>List invoices for own branch, filter by status</t>
  </si>
  <si>
    <t>Sales exist in multiple statuses</t>
  </si>
  <si>
    <t>?status=COMPLETED&amp;ordering=-created_at</t>
  </si>
  <si>
    <t>Only this cashier's branch invoices returned (branch-scoped)</t>
  </si>
  <si>
    <t>POS-14</t>
  </si>
  <si>
    <t>/api/sales/invoices/{id}/</t>
  </si>
  <si>
    <t>View full invoice detail (items + payments)</t>
  </si>
  <si>
    <t>Any (branch-scoped)</t>
  </si>
  <si>
    <t>Invoice id exists</t>
  </si>
  <si>
    <t>Returns items array, payments array, computed profit per item</t>
  </si>
  <si>
    <t>POS-15</t>
  </si>
  <si>
    <t>Cashier from Branch A tries to view Branch B's invoice by ID</t>
  </si>
  <si>
    <t>Cashier (Branch A)</t>
  </si>
  <si>
    <t>Invoice belongs to Branch B</t>
  </si>
  <si>
    <t>GET /api/sales/invoices/{branch_b_invoice_id}/</t>
  </si>
  <si>
    <t>404</t>
  </si>
  <si>
    <t>Not found — branch scoping hides other branches' data entirely</t>
  </si>
  <si>
    <t>Pharmacy Chain ERP — API Test Plan: Finance</t>
  </si>
  <si>
    <t>Manual bank account &amp; transaction bookkeeping (no live bank API), daily cash register, and expense tracking.</t>
  </si>
  <si>
    <t>FIN-01</t>
  </si>
  <si>
    <t>/api/finance/bank-accounts/</t>
  </si>
  <si>
    <t>Owner adds a head-office bank account (manual entry)</t>
  </si>
  <si>
    <t>{"bank_name":"HBL","account_title":"Pharmacy Chain Head Office","account_number":"01234567890123","branch":null}</t>
  </si>
  <si>
    <t>Bank account created with current_balance=0.00 (manual bookkeeping, no real bank API)</t>
  </si>
  <si>
    <t>FIN-02</t>
  </si>
  <si>
    <t>Owner adds a branch-specific bank account</t>
  </si>
  <si>
    <t>Branch exists</t>
  </si>
  <si>
    <t>{"bank_name":"Meezan Bank","account_title":"Main Pharmacy","account_number":"9988776655","branch":1}</t>
  </si>
  <si>
    <t>Account created and tied to branch 1</t>
  </si>
  <si>
    <t>FIN-03</t>
  </si>
  <si>
    <t>Cashier/manager views bank accounts — scoped correctly</t>
  </si>
  <si>
    <t>Both HQ and branch accounts exist</t>
  </si>
  <si>
    <t>Sees accounts for own branch (and NOT other branches' accounts)</t>
  </si>
  <si>
    <t>FIN-04</t>
  </si>
  <si>
    <t>/api/finance/bank-transactions/</t>
  </si>
  <si>
    <t>Record a manual cash deposit from branch into bank</t>
  </si>
  <si>
    <t>Manager/Accountant</t>
  </si>
  <si>
    <t>Bank account exists</t>
  </si>
  <si>
    <t>{"bank_account":1,"branch":1,"tx_type":"DEPOSIT","amount":"5000.00","reference_number":"DEP-001","note":"End of day cash deposit"}</t>
  </si>
  <si>
    <t>Transaction created; bank_account.current_balance increases by 5000.00 automatically</t>
  </si>
  <si>
    <t>FIN-05</t>
  </si>
  <si>
    <t>Record a supplier payment transaction (money out)</t>
  </si>
  <si>
    <t>Accountant</t>
  </si>
  <si>
    <t>Bank account has sufficient recorded balance</t>
  </si>
  <si>
    <t>{"bank_account":1,"tx_type":"SUPPLIER_PAYMENT","amount":"1200.00","reference_number":"PAY-777"}</t>
  </si>
  <si>
    <t>current_balance decreases by 1200.00</t>
  </si>
  <si>
    <t>FIN-06</t>
  </si>
  <si>
    <t>View full bank transaction ledger for a branch/date range</t>
  </si>
  <si>
    <t>Multiple transactions logged</t>
  </si>
  <si>
    <t>?branch=1&amp;tx_type=DEPOSIT</t>
  </si>
  <si>
    <t>Filtered ledger with is_inflow computed per row</t>
  </si>
  <si>
    <t>FIN-07</t>
  </si>
  <si>
    <t>/api/finance/cash-registers/</t>
  </si>
  <si>
    <t>Cashier opens their daily cash drawer</t>
  </si>
  <si>
    <t>No OPEN register already exists for today</t>
  </si>
  <si>
    <t>{"opening_balance":"2000.00"}</t>
  </si>
  <si>
    <t>Register created with status=OPEN, opened_by=self, branch auto-assigned</t>
  </si>
  <si>
    <t>FIN-08</t>
  </si>
  <si>
    <t>/api/finance/cash-registers/{id}/close/</t>
  </si>
  <si>
    <t>Cashier closes the register at end of day, entering counted cash</t>
  </si>
  <si>
    <t>Register is currently OPEN</t>
  </si>
  <si>
    <t>{"counted_closing_balance":"14850.00"}</t>
  </si>
  <si>
    <t>status=CLOSED, closed_at set, variance = counted - expected computed (may show shortage/overage)</t>
  </si>
  <si>
    <t>FIN-09</t>
  </si>
  <si>
    <t>/api/finance/expense-categories/</t>
  </si>
  <si>
    <t>Accountant adds a new expense category</t>
  </si>
  <si>
    <t>{"name":"Electricity"}</t>
  </si>
  <si>
    <t>FIN-10</t>
  </si>
  <si>
    <t>/api/finance/expenses/</t>
  </si>
  <si>
    <t>Record a rent expense paid from cash, no branch sent (manager)</t>
  </si>
  <si>
    <t>Expense category exists</t>
  </si>
  <si>
    <t>{"category":1,"amount":"25000.00","paid_from":"CASH","description":"Monthly shop rent"}</t>
  </si>
  <si>
    <t>Expense recorded, branch auto-assigned to manager's branch</t>
  </si>
  <si>
    <t>FIN-11</t>
  </si>
  <si>
    <t>Record an expense paid from a specific bank account</t>
  </si>
  <si>
    <t>{"branch":1,"category":2,"amount":"6000.00","paid_from":"BANK","bank_account":1,"description":"Electricity bill"}</t>
  </si>
  <si>
    <t>Expense linked to the bank account</t>
  </si>
  <si>
    <t>FIN-12</t>
  </si>
  <si>
    <t>List expenses filtered by category &amp; branch</t>
  </si>
  <si>
    <t>Expenses across categories exist</t>
  </si>
  <si>
    <t>?branch=1&amp;category=1</t>
  </si>
  <si>
    <t>Only matching expenses returned</t>
  </si>
  <si>
    <t>Pharmacy Chain ERP — API Test Plan: CRM</t>
  </si>
  <si>
    <t>Customer records, loyalty points, and free-text CRM notes.</t>
  </si>
  <si>
    <t>CRM-01</t>
  </si>
  <si>
    <t>/api/crm/customers/</t>
  </si>
  <si>
    <t>Cashier registers a new walk-in customer</t>
  </si>
  <si>
    <t>Phone number not already used</t>
  </si>
  <si>
    <t>{"name":"Fatima Noor","phone":"03211234567","email":""}</t>
  </si>
  <si>
    <t>Customer created, home_branch auto-set to cashier's branch, loyalty_points=0</t>
  </si>
  <si>
    <t>CRM-02</t>
  </si>
  <si>
    <t>Attempt to register a customer with a duplicate phone number</t>
  </si>
  <si>
    <t>Phone 03211234567 already registered</t>
  </si>
  <si>
    <t>{"name":"Someone Else","phone":"03211234567"}</t>
  </si>
  <si>
    <t>Validation error: phone must be unique</t>
  </si>
  <si>
    <t>CRM-03</t>
  </si>
  <si>
    <t>Search customer by phone (used at POS before checkout)</t>
  </si>
  <si>
    <t>?search=0321</t>
  </si>
  <si>
    <t>Matching customer(s) returned, including lifetime_spend</t>
  </si>
  <si>
    <t>CRM-04</t>
  </si>
  <si>
    <t>/api/crm/customers/{id}/</t>
  </si>
  <si>
    <t>Update a customer's email/address</t>
  </si>
  <si>
    <t>Cashier/Manager</t>
  </si>
  <si>
    <t>Customer id exists</t>
  </si>
  <si>
    <t>{"email":"fatima@example.com"}</t>
  </si>
  <si>
    <t>Field updated</t>
  </si>
  <si>
    <t>CRM-05</t>
  </si>
  <si>
    <t>/api/crm/loyalty-transactions/</t>
  </si>
  <si>
    <t>View a customer's loyalty point history</t>
  </si>
  <si>
    <t>Loyalty transactions exist for a customer</t>
  </si>
  <si>
    <t>?customer=1</t>
  </si>
  <si>
    <t>List of EARNED/REDEEMED/ADJUSTED entries</t>
  </si>
  <si>
    <t>CRM-06</t>
  </si>
  <si>
    <t>/api/crm/notes/</t>
  </si>
  <si>
    <t>Add a CRM note to a customer (e.g. allergy info)</t>
  </si>
  <si>
    <t>Cashier/Manager/Owner</t>
  </si>
  <si>
    <t>{"customer":1,"note":"Allergic to penicillin — verify before dispensing."}</t>
  </si>
  <si>
    <t>Note created with author=logged-in user</t>
  </si>
  <si>
    <t>CRM-07</t>
  </si>
  <si>
    <t>List all notes for a specific customer</t>
  </si>
  <si>
    <t>Notes exist</t>
  </si>
  <si>
    <t>Notes returned newest-first with author_name</t>
  </si>
  <si>
    <t>Pharmacy Chain ERP — API Test Plan: Analytics</t>
  </si>
  <si>
    <t>All endpoints are powered by Postgres stored procedures (see /sql/*.sql) for speed — verify both the numbers AND that role restrictions are enforced.</t>
  </si>
  <si>
    <t>AN-01</t>
  </si>
  <si>
    <t>/api/analytics/owner-dashboard/</t>
  </si>
  <si>
    <t>Owner views chain-wide combined KPI dashboard</t>
  </si>
  <si>
    <t>Sales, stock, bank, supplier data exist across branches</t>
  </si>
  <si>
    <t>?date_from=2026-01-01&amp;date_to=2026-12-31</t>
  </si>
  <si>
    <t>Single summary object: net_sales, gross_profit, total_invoices, total_stock_value, total_bank_balance, total_supplier_dues, low_stock_items, expiring_soon_items</t>
  </si>
  <si>
    <t>AN-02</t>
  </si>
  <si>
    <t>Owner filters dashboard to one specific branch</t>
  </si>
  <si>
    <t>?branch=1&amp;date_from=2026-01-01&amp;date_to=2026-12-31</t>
  </si>
  <si>
    <t>All KPI figures reflect branch 1 only, not the whole chain</t>
  </si>
  <si>
    <t>AN-03</t>
  </si>
  <si>
    <t>Cashier attempts to view owner dashboard (denied)</t>
  </si>
  <si>
    <t>Permission denied — role not in allowed list</t>
  </si>
  <si>
    <t>AN-04</t>
  </si>
  <si>
    <t>/api/analytics/sales/summary/</t>
  </si>
  <si>
    <t>Sales summary for a date range (invoices, discounts, tax, profit)</t>
  </si>
  <si>
    <t>Owner/Manager/Accountant</t>
  </si>
  <si>
    <t>Sales exist in range</t>
  </si>
  <si>
    <t>?branch=1&amp;date_from=2026-01-01&amp;date_to=2026-09-05</t>
  </si>
  <si>
    <t>total_invoices, gross_sales, net_sales, gross_profit, total_returns_amount all populated</t>
  </si>
  <si>
    <t>AN-05</t>
  </si>
  <si>
    <t>/api/analytics/sales/daily-trend/</t>
  </si>
  <si>
    <t>Day-by-day sales trend for a chart</t>
  </si>
  <si>
    <t>Sales spread across several days</t>
  </si>
  <si>
    <t>?branch=1&amp;date_from=2026-08-01&amp;date_to=2026-09-05</t>
  </si>
  <si>
    <t>Array of {sale_date, invoices, net_sales, gross_profit} sorted by date</t>
  </si>
  <si>
    <t>AN-06</t>
  </si>
  <si>
    <t>/api/analytics/sales/top-medicines/</t>
  </si>
  <si>
    <t>Top 10 best-selling medicines by quantity</t>
  </si>
  <si>
    <t>Owner/Manager/Accountant/Pharmacist</t>
  </si>
  <si>
    <t>Multiple medicines sold</t>
  </si>
  <si>
    <t>?branch=1&amp;date_from=2026-01-01&amp;date_to=2026-09-05&amp;limit=10</t>
  </si>
  <si>
    <t>Sorted descending by units_sold, includes revenue &amp; profit per medicine</t>
  </si>
  <si>
    <t>AN-07</t>
  </si>
  <si>
    <t>/api/analytics/sales/cashier-performance/</t>
  </si>
  <si>
    <t>Compare cashier sales performance within a branch</t>
  </si>
  <si>
    <t>2+ cashiers have made sales</t>
  </si>
  <si>
    <t>?date_from=2026-01-01&amp;date_to=2026-09-05</t>
  </si>
  <si>
    <t>Per-cashier invoices, net_sales, avg_invoice_value, sorted by net_sales desc</t>
  </si>
  <si>
    <t>AN-08</t>
  </si>
  <si>
    <t>Accountant attempts to view cashier performance (should be denied per role design)</t>
  </si>
  <si>
    <t>Permission denied — cashier performance is Owner/Manager only, not Accountant</t>
  </si>
  <si>
    <t>AN-09</t>
  </si>
  <si>
    <t>/api/analytics/sales/payment-methods/</t>
  </si>
  <si>
    <t>Breakdown of revenue by payment method</t>
  </si>
  <si>
    <t>Sales via multiple payment methods exist</t>
  </si>
  <si>
    <t>CASH/CARD/BANK_TRANSFER/etc totals + transaction counts</t>
  </si>
  <si>
    <t>AN-10</t>
  </si>
  <si>
    <t>/api/analytics/inventory/stock-valuation/</t>
  </si>
  <si>
    <t>Total stock value (cost &amp; retail) for a branch</t>
  </si>
  <si>
    <t>Batches with stock exist</t>
  </si>
  <si>
    <t>total_batches, total_units, total_cost_value, total_retail_value, potential_profit</t>
  </si>
  <si>
    <t>AN-11</t>
  </si>
  <si>
    <t>/api/analytics/inventory/stock-valuation-by-branch/</t>
  </si>
  <si>
    <t>Compare stock value across ALL branches side-by-side</t>
  </si>
  <si>
    <t>Owner ONLY</t>
  </si>
  <si>
    <t>2+ branches with stock</t>
  </si>
  <si>
    <t>One row per branch with total_units/cost_value/retail_value</t>
  </si>
  <si>
    <t>AN-12</t>
  </si>
  <si>
    <t>Manager attempts chain-wide comparison (should be denied)</t>
  </si>
  <si>
    <t>Permission denied — Owner only</t>
  </si>
  <si>
    <t>AN-13</t>
  </si>
  <si>
    <t>/api/analytics/inventory/expiry-report/</t>
  </si>
  <si>
    <t>Batches expiring soon exist</t>
  </si>
  <si>
    <t>?branch=1&amp;days=90</t>
  </si>
  <si>
    <t>Sorted by expiry_date ascending, includes days_to_expiry &amp; stock_value per batch</t>
  </si>
  <si>
    <t>AN-14</t>
  </si>
  <si>
    <t>/api/analytics/inventory/low-stock/</t>
  </si>
  <si>
    <t>Medicines at/below reorder level</t>
  </si>
  <si>
    <t>At least one medicine low on stock</t>
  </si>
  <si>
    <t>medicine_id, name, sku, total_remaining, reorder_level</t>
  </si>
  <si>
    <t>AN-15</t>
  </si>
  <si>
    <t>/api/analytics/finance/bank-balance/</t>
  </si>
  <si>
    <t>Total &amp; per-account bank balance summary</t>
  </si>
  <si>
    <t>Bank accounts with transactions exist</t>
  </si>
  <si>
    <t>total_balance + array of accounts with current_balance each</t>
  </si>
  <si>
    <t>AN-16</t>
  </si>
  <si>
    <t>/api/analytics/finance/cash-position/</t>
  </si>
  <si>
    <t>Estimated cash-on-hand per branch (sales - deposits - cash expenses)</t>
  </si>
  <si>
    <t>Cash sales, deposits &amp; expenses recorded</t>
  </si>
  <si>
    <t>?date_from=2026-08-01&amp;date_to=2026-09-05</t>
  </si>
  <si>
    <t>cash_sales, cash_deposited_to_bank, estimated_cash_on_hand per branch</t>
  </si>
  <si>
    <t>AN-17</t>
  </si>
  <si>
    <t>/api/analytics/finance/expense-breakdown/</t>
  </si>
  <si>
    <t>Expenses grouped by category for a date range</t>
  </si>
  <si>
    <t>Expenses in multiple categories recorded</t>
  </si>
  <si>
    <t>category_name, total_amount, transaction_count sorted desc</t>
  </si>
  <si>
    <t>AN-18</t>
  </si>
  <si>
    <t>/api/analytics/finance/profit-and-loss/</t>
  </si>
  <si>
    <t>Simplified P&amp;L: sales, COGS, gross profit, expenses, net profit</t>
  </si>
  <si>
    <t>Sales &amp; expenses exist in range</t>
  </si>
  <si>
    <t>net_sales, cost_of_goods_sold, gross_profit, total_expenses, net_profit all consistent (net_profit = gross_profit - total_expenses)</t>
  </si>
  <si>
    <t>AN-19</t>
  </si>
  <si>
    <t>/api/analytics/suppliers/dues/</t>
  </si>
  <si>
    <t>Total amount owed to each supplier (accounts payable)</t>
  </si>
  <si>
    <t>POs &amp; partial payments exist</t>
  </si>
  <si>
    <t>total_due + per-supplier total_purchased/total_paid/balance_due, sorted by balance_due desc</t>
  </si>
  <si>
    <t>AN-20</t>
  </si>
  <si>
    <t>/api/analytics/suppliers/payment-trend/</t>
  </si>
  <si>
    <t>Day-by-day supplier payment trend</t>
  </si>
  <si>
    <t>Payments made on several dates</t>
  </si>
  <si>
    <t>payment_date, total_paid, payment_count per day</t>
  </si>
  <si>
    <t>Pharmacy Chain ERP — API Test Plan: RBAC</t>
  </si>
  <si>
    <t>Cross-cutting role-based access control checks — run these against EVERY relevant role, not just one, to confirm the permission matrix from the README holds.</t>
  </si>
  <si>
    <t>RBAC-01</t>
  </si>
  <si>
    <t>Only OWNER can create branches — verify Manager/Cashier/Accountant/Pharmacist all get 403</t>
  </si>
  <si>
    <t>All non-owner roles</t>
  </si>
  <si>
    <t>Test with each role's token</t>
  </si>
  <si>
    <t>{"name":"Test","code":"T1"}</t>
  </si>
  <si>
    <t>403 (for all 4 roles)</t>
  </si>
  <si>
    <t>Every non-owner role is rejected identically</t>
  </si>
  <si>
    <t>RBAC-02</t>
  </si>
  <si>
    <t>Only Pharmacist/Manager/Owner can create medicines — Cashier &amp; Accountant denied</t>
  </si>
  <si>
    <t>Cashier, Accountant</t>
  </si>
  <si>
    <t>{"name":"X","sku":"X1"}</t>
  </si>
  <si>
    <t>Cashier and Accountant both rejected</t>
  </si>
  <si>
    <t>RBAC-03</t>
  </si>
  <si>
    <t>Only Owner/Manager can transfer stock between branches — Pharmacist/Cashier denied</t>
  </si>
  <si>
    <t>Pharmacist, Cashier</t>
  </si>
  <si>
    <t>{"batch":1,"to_branch":2,"quantity":1}</t>
  </si>
  <si>
    <t>Both roles rejected</t>
  </si>
  <si>
    <t>RBAC-04</t>
  </si>
  <si>
    <t>Only Cashier/Manager/Owner can operate POS — Accountant/Pharmacist denied</t>
  </si>
  <si>
    <t>Accountant, Pharmacist</t>
  </si>
  <si>
    <t>Both roles rejected from checkout</t>
  </si>
  <si>
    <t>RBAC-05</t>
  </si>
  <si>
    <t>Only Owner can create bank accounts — Manager/Accountant/Cashier denied</t>
  </si>
  <si>
    <t>Manager, Accountant, Cashier</t>
  </si>
  <si>
    <t>{"bank_name":"X","account_title":"Y","account_number":"123"}</t>
  </si>
  <si>
    <t>All three roles rejected</t>
  </si>
  <si>
    <t>RBAC-06</t>
  </si>
  <si>
    <t>Only Owner/Accountant can record expenses — Manager/Cashier/Pharmacist denied</t>
  </si>
  <si>
    <t>Manager, Cashier, Pharmacist</t>
  </si>
  <si>
    <t>{"category":1,"amount":"100","paid_from":"CASH"}</t>
  </si>
  <si>
    <t>RBAC-07</t>
  </si>
  <si>
    <t>Only Owner/Accountant can record supplier payments — Manager/Cashier denied</t>
  </si>
  <si>
    <t>Manager, Cashier</t>
  </si>
  <si>
    <t>{"supplier":1,"amount":"100","method":"CASH"}</t>
  </si>
  <si>
    <t>RBAC-08</t>
  </si>
  <si>
    <t>Only Owner/Accountant can view P&amp;L — Manager/Cashier/Pharmacist denied</t>
  </si>
  <si>
    <t>RBAC-09</t>
  </si>
  <si>
    <t>any branch-scoped list endpoint (e.g. /api/sales/invoices/)</t>
  </si>
  <si>
    <t>Cross-branch data isolation — Cashier at Branch A must NEVER see Branch B records</t>
  </si>
  <si>
    <t>Data exists in both Branch A and Branch B</t>
  </si>
  <si>
    <t>(no body / no ?branch= param)</t>
  </si>
  <si>
    <t>Response contains ONLY Branch A records, even though Branch B data exists in the DB</t>
  </si>
  <si>
    <t>RBAC-10</t>
  </si>
  <si>
    <t>Manager cannot assign STAFF to a different branch than their own</t>
  </si>
  <si>
    <t>A second branch exists</t>
  </si>
  <si>
    <t>{"username":"x","password":"X@12345","role":"CASHIER","branch":&lt;other_branch_id&gt;}</t>
  </si>
  <si>
    <t>201 but branch overridden</t>
  </si>
  <si>
    <t>New user's branch is forced to the manager's own branch, ignoring the submitted branch id</t>
  </si>
  <si>
    <t>RBAC-11</t>
  </si>
  <si>
    <t>/api/inventory/stock-valuation-by-branch/ (analytics)</t>
  </si>
  <si>
    <t>Confirm only OWNER (not even Manager) can compare stock across all branches</t>
  </si>
  <si>
    <t>Rejected — chain-wide comparison is owner-exclusive</t>
  </si>
  <si>
    <t>{
  "refresh": "eyJhbGciOiJIUzI1NiIsInR5cCI6IkpXVCJ9.eyJ0b2tlbl90eXBlIjoicmVmcmVzaCIsImV4cCI6MTc4OTcyNDcwNCwiaWF0IjoxNzg5MTE5OTA0LCJqdGkiOiI3ZDk4YmZjZTRiNmE0MWY4OTI2ZGExMmM5YmY4MzM1MCIsInVzZXJfaWQiOjEsInJvbGUiOiJPV05FUiIsImJyYW5jaF9pZCI6bnVsbCwiZnVsbF9uYW1lIjoiQWxpIE93bmVyIn0.TSgJG254S6RC8q-RHrLnKIrhLzCxC3utTyOpOLvwl08",
  "access": "eyJhbGciOiJIUzI1NiIsInR5cCI6IkpXVCJ9.eyJ0b2tlbl90eXBlIjoiYWNjZXNzIiwiZXhwIjoxNzg5MTIzNTA0LCJpYXQiOjE3ODkxMTk5MDQsImp0aSI6IjRjMTE4YTAzNzFmMDQwMGNhNWI0YTVjOGU0MzNkN2YwIiwidXNlcl9pZCI6MSwicm9sZSI6Ik9XTkVSIiwiYnJhbmNoX2lkIjpudWxsLCJmdWxsX25hbWUiOiJBbGkgT3duZXIifQ.pZmGBsp_MOZ0t2rH685rWL_WO9CzsjxXTT1Lyxt3tfk",
  "user": {
    "id": 1,
    "username": "owner",
    "email": "",
    "first_name": "Ali",
    "last_name": "Owner",
    "role": "OWNER",
    "branch": null,
    "branch_name": null,
    "phone": "",
    "cnic": "",
    "is_active_staff": true,
    "date_joined": "2026-09-05T12:57:25.026385+05:00"
  }
}</t>
  </si>
  <si>
    <t>Abdullah</t>
  </si>
  <si>
    <t>11th September 2026</t>
  </si>
  <si>
    <t>{
  "refresh": "eyJhbGciOiJIUzI1NiIsInR5cCI6IkpXVCJ9.eyJ0b2tlbl90eXBlIjoicmVmcmVzaCIsImV4cCI6MTc4OTcyNDg3NSwiaWF0IjoxNzg5MTIwMDc1LCJqdGkiOiI4ZjIxMmJjOGExYjA0NTAwYjZhNmIwNWVmNzRjNGE3MiIsInVzZXJfaWQiOjMsInJvbGUiOiJDQVNISUVSIiwiYnJhbmNoX2lkIjoxLCJmdWxsX25hbWUiOiJCaWxhbCBDYXNoaWVyIn0.EfzNS91Nf3uHLXbFgCbiTFWmIn3XB8swgoUB2NcxYKk",
  "access": "eyJhbGciOiJIUzI1NiIsInR5cCI6IkpXVCJ9.eyJ0b2tlbl90eXBlIjoiYWNjZXNzIiwiZXhwIjoxNzg5MTIzNjc1LCJpYXQiOjE3ODkxMjAwNzUsImp0aSI6IjA3ZDk0MmJlNWRkMzRjNzdhZjI0MzU0MWE2ZDM3ODQxIiwidXNlcl9pZCI6Mywicm9sZSI6IkNBU0hJRVIiLCJicmFuY2hfaWQiOjEsImZ1bGxfbmFtZSI6IkJpbGFsIENhc2hpZXIifQ.kPwQ1W2sJA_UpLj4rTud_p5wGBD_tMV1FYcAGFR0uvE",
  "user": {
    "id": 3,
    "username": "cashier1",
    "email": "",
    "first_name": "Bilal",
    "last_name": "Cashier",
    "role": "CASHIER",
    "branch": 1,
    "branch_name": "Main Pharmacy",
    "phone": "",
    "cnic": "",
    "is_active_staff": true,
    "date_joined": "2026-09-05T12:57:28.125214+05:00"
  }
}</t>
  </si>
  <si>
    <t>12th September 2026</t>
  </si>
  <si>
    <t>{
  "success": false,
  "errors": {
    "detail": "No active account found with the given credentials"
  },
  "status_code": 401
}</t>
  </si>
  <si>
    <t>{
  "success": false,
  "errors": {
    "password": [
      "This field is required."
    ]
  },
  "status_code": 400
}</t>
  </si>
  <si>
    <t>{
  "id": 1,
  "username": "owner",
  "email": "",
  "first_name": "Ali",
  "last_name": "Owner",
  "role": "OWNER",
  "branch": null,
  "branch_name": null,
  "phone": "",
  "cnic": "",
  "is_active_staff": true,
  "date_joined": "2026-09-05T12:57:25.026385+05:00"
}</t>
  </si>
  <si>
    <t>{
  "access": "eyJhbGciOiJIUzI1NiIsInR5cCI6IkpXVCJ9.eyJ0b2tlbl90eXBlIjoiYWNjZXNzIiwiZXhwIjoxNzg5MTI0MDI5LCJpYXQiOjE3ODkxMjAyNjIsImp0aSI6IjQzYjhmNWEyYTM2YzQ4NmFhMzBmZmE1ODU0MDRlNDdiIiwidXNlcl9pZCI6MSwicm9sZSI6Ik9XTkVSIiwiYnJhbmNoX2lkIjpudWxsLCJmdWxsX25hbWUiOiJBbGkgT3duZXIifQ.eJYcJRaMFQ4923l4P63wk39ijhdCHgUBPtC2z69JU2Y",
  "refresh": "eyJhbGciOiJIUzI1NiIsInR5cCI6IkpXVCJ9.eyJ0b2tlbl90eXBlIjoicmVmcmVzaCIsImV4cCI6MTc4OTcyNTIyOSwiaWF0IjoxNzg5MTIwNDI5LCJqdGkiOiI5YjFkOGMzZTYyNzU0MTM0YTI2MjUyZmIyMmRiYzY2ZCIsInVzZXJfaWQiOjEsInJvbGUiOiJPV05FUiIsImJyYW5jaF9pZCI6bnVsbCwiZnVsbF9uYW1lIjoiQWxpIE93bmVyIn0.Oq_9QhB3bXatFWJ12pKvuwiHFTIqqf4oguIeEk3R1Po"
}</t>
  </si>
  <si>
    <t>{
  "detail": "Password updated successfully."
}</t>
  </si>
  <si>
    <t>{
  "detail": "Old password is incorrect."
}</t>
  </si>
  <si>
    <t>{
  "success": false,
  "errors": {
    "new_password": [
      "This password is too short. It must contain at least 8 characters.",
      "This password is too common.",
      "This password is entirely numeric."
    ]
  },
  "status_code": 400
}</t>
  </si>
  <si>
    <t>{
  "count": 5,
  "next": null,
  "previous": null,
  "results": [
    {
      "id": 3,
      "username": "cashier1",
      "email": "",
      "first_name": "Bilal",
      "last_name": "Cashier",
      "role": "CASHIER",
      "branch": 1,
      "branch_name": "Main Pharmacy",
      "phone": "",
      "cnic": "",
      "is_active_staff": true,
      "date_joined": "2026-09-05T12:57:28.125214+05:00"
    },
    {
      "id": 4,
      "username": "accountant1",
      "email": "",
      "first_name": "Ayesha",
      "last_name": "Accountant",
      "role": "ACCOUNTANT",
      "branch": 1,
      "branch_name": "Main Pharmacy",
      "phone": "",
      "cnic": "",
      "is_active_staff": true,
      "date_joined": "2026-09-05T12:57:29.905323+05:00"
    },
    {
      "id": 5,
      "username": "pharmacist1",
      "email": "",
      "first_name": "Usman",
      "last_name": "Pharmacist",
      "role": "PHARMACIST",
      "branch": 1,
      "branch_name": "Main Pharmacy",
      "phone": "",
      "cnic": "",
      "is_active_staff": true,
      "date_joined": "2026-09-05T12:57:31.408540+05:00"
    },
    {
      "id": 6,
      "username": "testcashier",
      "email": "testcashier@example.com",
      "first_name": "Test",
      "last_name": "Cashier",
      "role": "CASHIER",
      "branch": 1,
      "branch_name": "Main Pharmacy",
      "phone": "03001234567",
      "cnic": "00000-0000000-0",
      "is_active_staff": true,
      "date_joined": "2026-09-05T13:25:59.489448+05:00"
    },
    {
      "id": 2,
      "username": "manager1",
      "email": "",
      "first_name": "Sara",
      "last_name": "Manager",
      "role": "MANAGER",
      "branch": 1,
      "branch_name": "Main Pharmacy",
      "phone": "03009999999",
      "cnic": "",
      "is_active_staff": true,
      "date_joined": "2026-09-05T12:57:26.633080+05:00"
    }
  ]
}</t>
  </si>
  <si>
    <t>{
  "id": 7,
  "username": "cashier2",
  "email": "cashier2@example.com",
  "first_name": "Demo",
  "last_name": "Cashier",
  "role": "CASHIER",
  "branch": 1,
  "phone": "03001234567",
  "cnic": "00000-0000000-0"
}</t>
  </si>
  <si>
    <t>{
  "success": false,
  "errors": {
    "role": [
      "Cannot create another OWNER account via this endpoint."
    ]
  },
  "status_code": 400
}</t>
  </si>
  <si>
    <t>{
  "id": 2,
  "username": "manager1",
  "email": "",
  "first_name": "Sara",
  "last_name": "Manager",
  "role": "MANAGER",
  "branch": 1,
  "branch_name": "Main Pharmacy",
  "phone": "03001234567",
  "cnic": "",
  "is_active_staff": true,
  "date_joined": "2026-09-05T12:57:26.633080+05:00"
}</t>
  </si>
  <si>
    <t>{
  "success": false,
  "errors": {
    "detail": "Only owner or branch manager can perform this action."
  },
  "status_code": 403
}</t>
  </si>
  <si>
    <t>{
  "count": 3,
  "next": null,
  "previous": null,
  "results": [
    {
      "id": 3,
      "username": "cashier1",
      "email": "",
      "first_name": "Bilal",
      "last_name": "Cashier",
      "role": "CASHIER",
      "branch": 1,
      "branch_name": "Main Pharmacy",
      "phone": "",
      "cnic": "",
      "is_active_staff": true,
      "date_joined": "2026-09-05T12:57:28.125214+05:00"
    },
    {
      "id": 6,
      "username": "testcashier",
      "email": "testcashier@example.com",
      "first_name": "Test",
      "last_name": "Cashier",
      "role": "CASHIER",
      "branch": 1,
      "branch_name": "Main Pharmacy",
      "phone": "03001234567",
      "cnic": "00000-0000000-0",
      "is_active_staff": true,
      "date_joined": "2026-09-05T13:25:59.489448+05:00"
    },
    {
      "id": 7,
      "username": "cashier2",
      "email": "cashier2@example.com",
      "first_name": "Demo",
      "last_name": "Cashier",
      "role": "CASHIER",
      "branch": 1,
      "branch_name": "Main Pharmacy",
      "phone": "03001234567",
      "cnic": "00000-0000000-0",
      "is_active_staff": true,
      "date_joined": "2026-09-11T15:02:02.963509+05:00"
    }
  ]
}</t>
  </si>
  <si>
    <t>{
  "id": 9,
  "username": "cashier3",
  "email": "cashier3@example.com",
  "first_name": "Demo",
  "last_name": "Cashier3",
  "role": "CASHIER",
  "branch": 1,
  "phone": "03001234567",
  "cnic": "00000-0000000-0"
}</t>
  </si>
  <si>
    <t>13th September 2026</t>
  </si>
  <si>
    <t>14th September 2026</t>
  </si>
  <si>
    <t>15th September 2026</t>
  </si>
  <si>
    <t>16th September 2026</t>
  </si>
  <si>
    <t>17th September 2026</t>
  </si>
  <si>
    <t>18th September 2026</t>
  </si>
  <si>
    <t>19th September 2026</t>
  </si>
  <si>
    <t>20th September 2026</t>
  </si>
  <si>
    <t>21st September 2026</t>
  </si>
  <si>
    <t>22nd September 2026</t>
  </si>
  <si>
    <t>23rd September 2026</t>
  </si>
  <si>
    <t>24th September 2026</t>
  </si>
  <si>
    <t>25th September 2026</t>
  </si>
  <si>
    <t>26th September 2026</t>
  </si>
  <si>
    <t>27th September 2026</t>
  </si>
  <si>
    <t>28th September 2026</t>
  </si>
  <si>
    <t>29th September 2026</t>
  </si>
  <si>
    <t>30th September 2026</t>
  </si>
  <si>
    <t>31st September 2026</t>
  </si>
  <si>
    <t>{
  "count": 2,
  "next": null,
  "previous": null,
  "results": [
    {
      "id": 1,
      "name": "Main Pharmacy",
      "code": "MAIN-01",
      "address": "Main Branch",
      "city": "Islamabad",
      "phone": "",
      "license_number": "",
      "is_active": true,
      "opened_on": null,
      "staff_count": 7,
      "created_at": "2026-09-05T12:57:24.309271+05:00",
      "updated_at": "2026-09-05T12:57:24.309271+05:00"
    },
    {
      "id": 2,
      "name": "North Pharmacy",
      "code": "NORTH-01",
      "address": "North Market",
      "city": "Islamabad",
      "phone": "0511234567",
      "license_number": "LIC-NORTH-01",
      "is_active": true,
      "opened_on": "2026-09-05",
      "staff_count": 0,
      "created_at": "2026-09-05T13:27:25.778027+05:00",
      "updated_at": "2026-09-05T13:27:25.778027+05:00"
    }
  ]
}</t>
  </si>
  <si>
    <t>{
  "id": 3,
  "name": "North Town Branch",
  "code": "NTH-02",
  "address": "Main Blvd",
  "city": "Rawalpindi",
  "phone": "0512345678",
  "license_number": "",
  "is_active": true,
  "opened_on": null,
  "staff_count": 0,
  "created_at": "2026-09-11T15:18:55.275705+05:00",
  "updated_at": "2026-09-11T15:18:55.275705+05:00"
}</t>
  </si>
  <si>
    <t>{
  "success": false,
  "errors": {
    "code": [
      "branch with this code already exists."
    ]
  },
  "status_code": 400
}</t>
  </si>
  <si>
    <t>{
  "id": 1,
  "name": "Main Pharmacy",
  "code": "MAIN-01",
  "address": "Main Branch",
  "city": "Islamabad",
  "phone": "",
  "license_number": "",
  "is_active": true,
  "opened_on": null,
  "staff_count": 7,
  "created_at": "2026-09-05T12:57:24.309271+05:00",
  "updated_at": "2026-09-05T12:57:24.309271+05:00"
}</t>
  </si>
  <si>
    <t>as expected</t>
  </si>
  <si>
    <t>{
  "success": false,
  "errors": {
    "detail": "Only the owner can perform this action."
  },
  "status_code": 403
}</t>
  </si>
  <si>
    <t>{
  "count": 1,
  "next": null,
  "previous": null,
  "results": [
    {
      "id": 1,
      "name": "Main Pharmacy",
      "code": "MAIN-01",
      "address": "Main Branch",
      "city": "Islamabad",
      "phone": "0517654321",
      "license_number": "",
      "is_active": true,
      "opened_on": null,
      "staff_count": 7,
      "created_at": "2026-09-05T12:57:24.309271+05:00",
      "updated_at": "2026-09-11T15:21:51.758819+05:00"
    }
  ]
}</t>
  </si>
  <si>
    <t>{
  "count": 1,
  "next": null,
  "previous": null,
  "results": [
    {
      "id": 1,
      "name": "Antibiotics",
      "description": "Updated category description"
    }
  ]
}</t>
  </si>
  <si>
    <t>{
  "id": 2,
  "name": "Antioxidants",
  "description": "Antioxidants medicines"
}</t>
  </si>
  <si>
    <t>{
  "id": 2,
  "name": "GSK Pakistan",
  "country": "Pakistan"
}</t>
  </si>
  <si>
    <t>{
  "count": 1,
  "next": null,
  "previous": null,
  "results": [
    {
      "id": 1,
      "name": "Paracetamol 500mg",
      "generic_name": "Paracetamol",
      "sku": "PCM-500-DEMO",
      "barcode": "890000000001",
      "category": 1,
      "category_name": "Antibiotics",
      "manufacturer": 1,
      "manufacturer_name": "Demo Pharma",
      "unit_type": "TABLET",
      "pack_size": "10 tablets/strip",
      "requires_prescription": false,
      "is_active": true,
      "reorder_level": 10,
      "total_stock": 119,
      "created_at": "2026-09-05T13:29:06.217493+05:00",
      "updated_at": "2026-09-05T13:29:06.217493+05:00"
    }
  ]
}</t>
  </si>
  <si>
    <t>{
  "id": 2,
  "name": "Amoxicillin 500mg",
  "generic_name": "",
  "sku": "AMX-500",
  "barcode": "",
  "category": 1,
  "category_name": "Antibiotics",
  "manufacturer": 1,
  "manufacturer_name": "Demo Pharma",
  "unit_type": "CAPSULE",
  "pack_size": "",
  "requires_prescription": true,
  "is_active": true,
  "reorder_level": 20,
  "total_stock": 0,
  "created_at": "2026-09-11T15:59:03.204072+05:00",
  "updated_at": "2026-09-11T15:59:03.204072+05:00"
}</t>
  </si>
  <si>
    <t>{
  "success": false,
  "errors": {
    "sku": [
      "medicine with this sku already exists."
    ]
  },
  "status_code": 400
}</t>
  </si>
  <si>
    <t>{
  "id": 1,
  "name": "Paracetamol 500mg",
  "generic_name": "Paracetamol",
  "sku": "PCM-500-DEMO",
  "barcode": "890000000001",
  "category": 1,
  "category_name": "Antibiotics",
  "manufacturer": 1,
  "manufacturer_name": "Demo Pharma",
  "unit_type": "TABLET",
  "pack_size": "10 tablets/strip",
  "requires_prescription": false,
  "is_active": true,
  "reorder_level": 10,
  "total_stock": 119,
  "created_at": "2026-09-05T13:29:06.217493+05:00",
  "updated_at": "2026-09-05T13:29:06.217493+05:00"
}</t>
  </si>
  <si>
    <t>[
  {
    "medicine_id": 2,
    "name": "Amoxicillin 500mg",
    "sku": "AMX-500",
    "total_stock": 0,
    "reorder_level": 20
  }
]</t>
  </si>
  <si>
    <t>{
  "count": 2,
  "next": null,
  "previous": null,
  "results": [
    {
      "id": 1,
      "medicine": 1,
      "medicine_name": "Paracetamol 500mg",
      "branch": 1,
      "branch_name": "Main Pharmacy",
      "batch_number": "DEMO-BATCH-001",
      "purchase_order_item": null,
      "quantity_received": 100,
      "quantity_remaining": 99,
      "cost_price": "10.00",
      "sale_price": "15.00",
      "expiry_date": "2027-12-31",
      "received_date": "2026-09-05",
      "is_active": true,
      "stock_value": "990.00",
      "is_expired": false,
      "is_near_expiry": false
    },
    {
      "id": 2,
      "medicine": 1,
      "medicine_name": "Paracetamol 500mg",
      "branch": 1,
      "branch_name": "Main Pharmacy",
      "batch_number": "PO-DEMO-BATCH",
      "purchase_order_item": 1,
      "quantity_received": 20,
      "quantity_remaining": 20,
      "cost_price": "10.00",
      "sale_price": "15.00",
      "expiry_date": "2027-12-31",
      "received_date": "2026-09-05",
      "is_active": true,
      "stock_value": "200.00",
      "is_expired": false,
      "is_near_expiry": false
    }
  ]
}</t>
  </si>
  <si>
    <t>{
  "id": 3,
  "medicine": 1,
  "medicine_name": "Paracetamol 500mg",
  "branch": 1,
  "branch_name": "Main Pharmacy",
  "batch_number": "MANUAL-001",
  "purchase_order_item": null,
  "quantity_received": 50,
  "quantity_remaining": 50,
  "cost_price": "8.00",
  "sale_price": "12.00",
  "expiry_date": "2027-06-30",
  "received_date": "2026-09-11",
  "is_active": true,
  "stock_value": "400.00",
  "is_expired": false,
  "is_near_expiry": false
}</t>
  </si>
  <si>
    <t>{
  "count": 0,
  "next": null,
  "previous": null,
  "results": []
}</t>
  </si>
  <si>
    <t>{
  "id": 1,
  "medicine": 1,
  "medicine_name": "Paracetamol 500mg",
  "branch": 1,
  "branch_name": "Main Pharmacy",
  "batch_number": "DEMO-BATCH-001",
  "purchase_order_item": null,
  "quantity_received": 100,
  "quantity_remaining": 94,
  "cost_price": "10.00",
  "sale_price": "15.00",
  "expiry_date": "2027-12-31",
  "received_date": "2026-09-05",
  "is_active": true,
  "stock_value": "940.00",
  "is_expired": false,
  "is_near_expiry": false
}</t>
  </si>
  <si>
    <t>{
  "detail": "Adjustment quantity exceeds remaining stock."
}</t>
  </si>
  <si>
    <t>{
  "detail": "Transfer completed.",
  "new_batch": {
    "id": 4,
    "medicine": 1,
    "medicine_name": "Paracetamol 500mg",
    "branch": 2,
    "branch_name": "North Pharmacy",
    "batch_number": "DEMO-BATCH-001",
    "purchase_order_item": null,
    "quantity_received": 10,
    "quantity_remaining": 10,
    "cost_price": "10.00",
    "sale_price": "15.00",
    "expiry_date": "2027-12-31",
    "received_date": "2026-09-11",
    "is_active": true,
    "stock_value": "100.00",
    "is_expired": false,
    "is_near_expiry": false
  }
}</t>
  </si>
  <si>
    <t xml:space="preserve">{
  "detail": "Source and destination branch are the same."
</t>
  </si>
  <si>
    <t>{
  "count": 3,
  "next": null,
  "previous": null,
  "results": [
    {
      "id": 4,
      "batch": 1,
      "medicine_name": "Paracetamol 500mg",
      "branch": 1,
      "branch_name": "Main Pharmacy",
      "movement_type": "TRANSFER_OUT",
      "quantity": -10,
      "reference": "TRANSFER-TO-NORTH-01",
      "note": "",
      "created_by": 5,
      "created_by_name": "Usman Pharmacist",
      "created_at": "2026-09-11T16:09:47.635544+05:00"
    },
    {
      "id": 3,
      "batch": 1,
      "medicine_name": "Paracetamol 500mg",
      "branch": 1,
      "branch_name": "Main Pharmacy",
      "movement_type": "DAMAGED_WRITE_OFF",
      "quantity": -5,
      "reference": "",
      "note": "Water damage",
      "created_by": 5,
      "created_by_name": "Usman Pharmacist",
      "created_at": "2026-09-11T16:05:36.700618+05:00"
    },
    {
      "id": 2,
      "batch": 1,
      "medicine_name": "Paracetamol 500mg",
      "branch": 1,
      "branch_name": "Main Pharmacy",
      "movement_type": "SALE_OUT",
      "quantity": -1,
      "reference": "MAIN-01-20260905125431-2899",
      "note": "",
      "created_by": 1,
      "created_by_name": "Ali Owner",
      "created_at": "2026-09-05T17:54:32.633419+05:00"
    }
  ]
}</t>
  </si>
  <si>
    <t>same as expected</t>
  </si>
  <si>
    <t xml:space="preserve">                         </t>
  </si>
  <si>
    <t>{
  "count": 1,
  "next": null,
  "previous": null,
  "results": [
    {
      "id": 1,
      "name": "Demo Distributors",
      "contact_person": "Ali Khan",
      "phone": "03003334444",
      "email": "sales@demo-distributors.example",
      "address": "Industrial Area",
      "is_active": true,
      "total_payable": 200.0,
      "created_at": "2026-09-05T13:32:20.271727+05:00"
    }
  ]
}</t>
  </si>
  <si>
    <t>{
  "id": 2,
  "name": "MediCorp Distributors",
  "contact_person": "Bilal",
  "phone": "03001112222",
  "email": "",
  "address": "",
  "is_active": true,
  "total_payable": 0,
  "created_at": "2026-09-11T16:26:01.700496+05:00"
}</t>
  </si>
  <si>
    <t>{
  "success": false,
  "errors": {
    "branch": [
      "This field is required."
    ]
  },
  "status_code": 400
}</t>
  </si>
  <si>
    <t>{
  "id": 2,
  "branch": 1,
  "branch_name": "Main Pharmacy",
  "supplier": 1,
  "supplier_name": "Demo Distributors",
  "po_number": "PO-1003",
  "status": "DRAFT",
  "order_date": "2026-09-11",
  "expected_date": null,
  "received_date": null,
  "notes": "",
  "items": [
    {
      "id": 2,
      "medicine": 1,
      "medicine_name": "Paracetamol 500mg",
      "quantity_ordered": 10,
      "quantity_received": 0,
      "unit_cost": "8.00",
      "unit_sale_price": "12.00",
      "batch_number": "",
      "expiry_date": null,
      "line_total": "80.00"
    }
  ],
  "total_amount": "80.00",
  "amount_paid": "0.00",
  "balance_due": "80.00",
  "created_at": "2026-09-11T16:28:48.470551+05:00"
}</t>
  </si>
  <si>
    <t>{
  "count": 1,
  "next": null,
  "previous": null,
  "results": [
    {
      "id": 2,
      "branch": 1,
      "branch_name": "Main Pharmacy",
      "supplier": 1,
      "supplier_name": "Demo Distributors",
      "po_number": "PO-1003",
      "status": "DRAFT",
      "order_date": "2026-09-11",
      "expected_date": null,
      "received_date": null,
      "notes": "",
      "items": [
        {
          "id": 2,
          "medicine": 1,
          "medicine_name": "Paracetamol 500mg",
          "quantity_ordered": 10,
          "quantity_received": 0,
          "unit_cost": "8.00",
          "unit_sale_price": "12.00",
          "batch_number": "",
          "expiry_date": null,
          "line_total": "80.00"
        }
      ],
      "total_amount": "80.00",
      "amount_paid": "0.00",
      "balance_due": "80.00",
      "created_at": "2026-09-11T16:28:48.470551+05:00"
    }
  ]
}</t>
  </si>
  <si>
    <t>{
  "detail": "0 batch(es) received into inventory.",
  "purchase_order": {
    "id": 1,
    "branch": 1,
    "branch_name": "Main Pharmacy",
    "supplier": 1,
    "supplier_name": "Demo Distributors",
    "po_number": "PO-DEMO-001",
    "status": "RECEIVED",
    "order_date": "2026-09-05",
    "expected_date": "2026-10-01",
    "received_date": "2026-09-11",
    "notes": "Approved for ordering",
    "items": [
      {
        "id": 1,
        "medicine": 1,
        "medicine_name": "Paracetamol 500mg",
        "quantity_ordered": 20,
        "quantity_received": 20,
        "unit_cost": "10.00",
        "unit_sale_price": "15.00",
        "batch_number": "PO-DEMO-BATCH",
        "expiry_date": "2027-12-31",
        "line_total": "200.00"
      }
    ],
    "total_amount": "200.00",
    "amount_paid": "0.00",
    "balance_due": "200.00",
    "created_at": "2026-09-05T13:32:42.702090+05:00"
  }
}</t>
  </si>
  <si>
    <t>{
  "success": false,
  "errors": {
    "detail": "Only owner or accountant can perform this action."
  },
  "status_code": 403
}</t>
  </si>
  <si>
    <t>{
  "id": 2,
  "branch": 1,
  "branch_name": "Main Pharmacy",
  "invoice_number": "MAIN-01-20260911115416-1B70",
  "customer": null,
  "customer_name": null,
  "cashier": 3,
  "cashier_name": "Bilal Cashier",
  "subtotal": "15.00",
  "discount_amount": "0.00",
  "tax_amount": "0.00",
  "total_amount": "15.00",
  "status": "COMPLETED",
  "note": "",
  "items": [
    {
      "id": 2,
      "batch": 1,
      "medicine_name_snapshot": "Paracetamol 500mg",
      "quantity": 1,
      "unit_price": "15.00",
      "unit_cost_snapshot": "10.00",
      "discount_amount": "0.00",
      "line_total": "15.00",
      "quantity_returned": 0,
      "profit": "5.00"
    }
  ],
  "payments": [
    {
      "id": 2,
      "method": "CASH",
      "amount": "15.00",
      "bank_account": null,
      "reference_number": ""
    }
  ],
  "created_at": "2026-09-11T16:54:16.052366+05:00"
}</t>
  </si>
  <si>
    <t>{
  "success": false,
  "errors": [
    "Payment total (75.00) does not match sale total (60.00)."
  ],
  "status_code": 400
}</t>
  </si>
  <si>
    <t>{
  "success": false,
  "errors": [
    "Payment total (30.00) does not match sale total (24.00)."
  ],
  "status_code": 400
}</t>
  </si>
  <si>
    <t>{
  "success": false,
  "errors": [
    "Payment total (5.00) does not match sale total (12.00)."
  ],
  "status_code": 400
}</t>
  </si>
  <si>
    <t>{
  "success": false,
  "errors": [
    "Insufficient stock for medicine id=1. Requested 999999, available 151."
  ],
  "status_code": 400
}</t>
  </si>
  <si>
    <t>{
  "success": false,
  "errors": [
    "No available stock for medicine id=12 at this branch."
  ],
  "status_code": 400
}</t>
  </si>
  <si>
    <t>{
  "success": false,
  "errors": {
    "non_field_errors": [
      "Cart cannot be empty."
    ]
  },
  "status_code": 400
}</t>
  </si>
  <si>
    <t>{
  "id": 12,
  "branch": 1,
  "branch_name": "Main Pharmacy",
  "invoice_number": "MAIN-01-20260911122623-9C00",
  "customer": 1,
  "customer_name": "Demo Customer",
  "cashier": 3,
  "cashier_name": "Bilal Cashier",
  "subtotal": "12.00",
  "discount_amount": "0.00",
  "tax_amount": "0.00",
  "total_amount": "12.00",
  "status": "COMPLETED",
  "note": "",
  "items": [
    {
      "id": 9,
      "batch": 3,
      "medicine_name_snapshot": "Paracetamol 500mg",
      "quantity": 1,
      "unit_price": "12.00",
      "unit_cost_snapshot": "8.00",
      "discount_amount": "0.00",
      "line_total": "12.00",
      "quantity_returned": 0,
      "profit": "4.00"
    }
  ],
  "payments": [
    {
      "id": 11,
      "method": "CASH",
      "amount": "12.00",
      "bank_account": null,
      "reference_number": ""
    }
  ],
  "created_at": "2026-09-11T17:26:23.838092+05:00"
}</t>
  </si>
  <si>
    <t>{
  "detail": "Return processed.",
  "refund_amount": 15.0,
  "sale": {
    "id": 1,
    "branch": 1,
    "branch_name": "Main Pharmacy",
    "invoice_number": "MAIN-01-20260905125431-2899",
    "customer": null,
    "customer_name": null,
    "cashier": 1,
    "cashier_name": "Ali Owner",
    "subtotal": "15.00",
    "discount_amount": "0.00",
    "tax_amount": "0.00",
    "total_amount": "15.00",
    "status": "RETURNED",
    "note": "Demo POS checkout",
    "items": [
      {
        "id": 1,
        "batch": 1,
        "medicine_name_snapshot": "Paracetamol 500mg",
        "quantity": 1,
        "unit_price": "15.00",
        "unit_cost_snapshot": "10.00",
        "discount_amount": "0.00",
        "line_total": "15.00",
        "quantity_returned": 1,
        "profit": "0.00"
      }
    ],
    "payments": [
      {
        "id": 1,
        "method": "CASH",
        "amount": "15.00",
        "bank_account": null,
        "reference_number": ""
      }
    ],
    "created_at": "2026-09-05T17:54:31.698041+05:00"
  }
}</t>
  </si>
  <si>
    <t>{
  "success": false,
  "errors": [
    "Cannot return more than 0 remaining units."
  ],
  "status_code": 400
}</t>
  </si>
  <si>
    <t>{
  "count": 3,
  "next": null,
  "previous": null,
  "results": [
    {
      "id": 12,
      "branch": 1,
      "branch_name": "Main Pharmacy",
      "invoice_number": "MAIN-01-20260911122623-9C00",
      "customer": 1,
      "customer_name": "Demo Customer",
      "cashier": 3,
      "cashier_name": "Bilal Cashier",
      "subtotal": "12.00",
      "discount_amount": "0.00",
      "tax_amount": "0.00",
      "total_amount": "12.00",
      "status": "COMPLETED",
      "note": "",
      "items": [
        {
          "id": 9,
          "batch": 3,
          "medicine_name_snapshot": "Paracetamol 500mg",
          "quantity": 1,
          "unit_price": "12.00",
          "unit_cost_snapshot": "8.00",
          "discount_amount": "0.00",
          "line_total": "12.00",
          "quantity_returned": 0,
          "profit": "4.00"
        }
      ],
      "payments": [
        {
          "id": 11,
          "method": "CASH",
          "amount": "12.00",
          "bank_account": null,
          "reference_number": ""
        }
      ],
      "created_at": "2026-09-11T17:26:23.838092+05:00"
    },
    {
      "id": 5,
      "branch": 1,
      "branch_name": "Main Pharmacy",
      "invoice_number": "MAIN-01-20260911115713-EF03",
      "customer": null,
      "customer_name": null,
      "cashier": 3,
      "cashier_name": "Bilal Cashier",
      "subtotal": "24.00",
      "discount_amount": "0.00",
      "tax_amount": "0.00",
      "total_amount": "24.00",
      "status": "COMPLETED",
      "note": "",
      "items": [
        {
          "id": 5,
          "batch": 3,
          "medicine_name_snapshot": "Paracetamol 500mg",
          "quantity": 2,
          "unit_price": "12.00",
          "unit_cost_snapshot": "8.00",
          "discount_amount": "0.00",
          "line_total": "24.00",
          "quantity_returned": 0,
          "profit": "8.00"
        }
      ],
      "payments": [
        {
          "id": 6,
          "method": "CASH",
          "amount": "20.00",
          "bank_account": null,
          "reference_number": ""
        },
        {
          "id": 7,
          "method": "BANK_TRANSFER",
          "amount": "4.00",
          "bank_account": 1,
          "reference_number": ""
        }
      ],
      "created_at": "2026-09-11T16:57:13.651078+05:00"
    },
    {
      "id": 2,
      "branch": 1,
      "branch_name": "Main Pharmacy",
      "invoice_number": "MAIN-01-20260911115416-1B70",
      "customer": null,
      "customer_name": null,
      "cashier": 3,
      "cashier_name": "Bilal Cashier",
      "subtotal": "15.00",
      "discount_amount": "0.00",
      "tax_amount": "0.00",
      "total_amount": "15.00",
      "status": "COMPLETED",
      "note": "",
      "items": [
        {
          "id": 2,
          "batch": 1,
          "medicine_name_snapshot": "Paracetamol 500mg",
          "quantity": 1,
          "unit_price": "15.00",
          "unit_cost_snapshot": "10.00",
          "discount_amount": "0.00",
          "line_total": "15.00",
          "quantity_returned": 0,
          "profit": "5.00"
        }
      ],
      "payments": [
        {
          "id": 2,
          "method": "CASH",
          "amount": "15.00",
          "bank_account": null,
          "reference_number": ""
        }
      ],
      "created_at": "2026-09-11T16:54:16.052366+05:00"
    }
  ]
}</t>
  </si>
  <si>
    <t>{
  "id": 1,
  "branch": 1,
  "branch_name": "Main Pharmacy",
  "invoice_number": "MAIN-01-20260905125431-2899",
  "customer": null,
  "customer_name": null,
  "cashier": 1,
  "cashier_name": "Ali Owner",
  "subtotal": "15.00",
  "discount_amount": "0.00",
  "tax_amount": "0.00",
  "total_amount": "15.00",
  "status": "RETURNED",
  "note": "Demo POS checkout",
  "items": [
    {
      "id": 1,
      "batch": 1,
      "medicine_name_snapshot": "Paracetamol 500mg",
      "quantity": 1,
      "unit_price": "15.00",
      "unit_cost_snapshot": "10.00",
      "discount_amount": "0.00",
      "line_total": "15.00",
      "quantity_returned": 1,
      "profit": "0.00"
    }
  ],
  "payments": [
    {
      "id": 1,
      "method": "CASH",
      "amount": "15.00",
      "bank_account": null,
      "reference_number": ""
    }
  ],
  "created_at": "2026-09-05T17:54:31.698041+05:00"
}</t>
  </si>
  <si>
    <t>{
  "id": 14,
  "branch": 1,
  "branch_name": "Main Pharmacy",
  "invoice_number": "MAIN-01-20260911123052-FE24",
  "customer": null,
  "customer_name": null,
  "cashier": 1,
  "cashier_name": "Ali Owner",
  "subtotal": "12.00",
  "discount_amount": "0.00",
  "tax_amount": "0.00",
  "total_amount": "12.00",
  "status": "COMPLETED",
  "note": "",
  "items": [
    {
      "id": 11,
      "batch": 3,
      "medicine_name_snapshot": "Paracetamol 500mg",
      "quantity": 1,
      "unit_price": "12.00",
      "unit_cost_snapshot": "8.00",
      "discount_amount": "0.00",
      "line_total": "12.00",
      "quantity_returned": 0,
      "profit": "4.00"
    }
  ],
  "payments": [
    {
      "id": 13,
      "method": "CASH",
      "amount": "12.00",
      "bank_account": null,
      "reference_number": ""
    }
  ],
  "created_at": "2026-09-11T17:30:52.001385+05:00"
}</t>
  </si>
  <si>
    <t>{
  "success": false,
  "errors": {
    "branch": "Owner has no home branch — specify which branch this sale is for (e.g. \"branch\": 1 in the request body)."
  },
  "status_code": 400
}</t>
  </si>
  <si>
    <t>{
  "id": 2,
  "name": "Fatima Noor",
  "phone": "03211234567",
  "email": "",
  "address": "",
  "home_branch": 1,
  "home_branch_name": "Main Pharmacy",
  "loyalty_points": 0,
  "is_active": true,
  "lifetime_spend": "0.00",
  "created_at": "2026-09-11T19:01:31.053879+05:00"
}</t>
  </si>
  <si>
    <t>{
  "success": false,
  "errors": {
    "phone": [
      "customer with this phone already exists."
    ]
  },
  "status_code": 400
}</t>
  </si>
  <si>
    <t>{
  "count": 1,
  "next": null,
  "previous": null,
  "results": [
    {
      "id": 2,
      "name": "Fatima Noor",
      "phone": "03211234567",
      "email": "",
      "address": "",
      "home_branch": 1,
      "home_branch_name": "Main Pharmacy",
      "loyalty_points": 0,
      "is_active": true,
      "lifetime_spend": "0.00",
      "created_at": "2026-09-11T19:01:31.053879+05:00"
    }
  ]
}</t>
  </si>
  <si>
    <t>{
  "id": 1,
  "name": "Demo Customer",
  "phone": "03009998877",
  "email": "fatima@example.com",
  "address": "Updated address",
  "home_branch": 1,
  "home_branch_name": "Main Pharmacy",
  "loyalty_points": 0,
  "is_active": true,
  "lifetime_spend": "12.00",
  "created_at": "2026-09-05T13:36:04.721646+05:00"
}</t>
  </si>
  <si>
    <t>{
  "id": 1,
  "customer": 1,
  "author": 3,
  "author_name": "Bilal Cashier",
  "note": "Allergic to penicillin — verify before dispensing.",
  "created_at": "2026-09-11T19:04:42.719255+05:00"
}</t>
  </si>
  <si>
    <t>{
  "count": 1,
  "next": null,
  "previous": null,
  "results": [
    {
      "id": 1,
      "customer": 1,
      "author": 3,
      "author_name": "Bilal Cashier",
      "note": "Allergic to penicillin — verify before dispensing.",
      "created_at": "2026-09-11T19:04:42.719255+05:00"
    }
  ]
}</t>
  </si>
  <si>
    <t>{
  "branch_id": 1,
  "date_from": "2026-01-01",
  "date_to": "2026-12-31",
  "summary": {
    "net_sales": 78.0,
    "gross_profit": 21.0,
    "total_invoices": 5,
    "total_stock_value": 1408.0,
    "total_bank_balance": 0.0,
    "total_supplier_dues": 280.0,
    "low_stock_items": 1,
    "expiring_soon_items": 0
  }
}</t>
  </si>
  <si>
    <t>As expected</t>
  </si>
  <si>
    <t>{
  "branch_id": 1,
  "date_from": "2026-01-01",
  "date_to": "2026-12-31",
  "summary": {
    "total_invoices": 5,
    "total_units_sold": 5,
    "gross_sales": 78.0,
    "total_discount": 0.0,
    "total_tax": 0.0,
    "net_sales": 78.0,
    "total_cost": 42.0,
    "gross_profit": 21.0,
    "total_returns_amount": 15.0
  }
}</t>
  </si>
  <si>
    <t>{
  "branch_id": 1,
  "date_from": "2026-01-01",
  "date_to": "2026-12-31",
  "trend": [
    {
      "sale_date": "2026-09-05",
      "invoices": 1,
      "net_sales": 15.0,
      "gross_profit": 0.0
    },
    {
      "sale_date": "2026-09-11",
      "invoices": 4,
      "net_sales": 63.0,
      "gross_profit": 21.0
    }
  ]
}</t>
  </si>
  <si>
    <t>{
  "branch_id": 1,
  "date_from": "2026-01-01",
  "date_to": "2026-12-31",
  "results": [
    {
      "medicine_id": 1,
      "medicine_name": "Paracetamol 500mg",
      "units_sold": 5,
      "revenue": 78.0,
      "profit": 21.0
    }
  ]
}</t>
  </si>
  <si>
    <t>{
  "branch_id": 1,
  "date_from": "2026-01-01",
  "date_to": "2026-12-31",
  "results": [
    {
      "cashier_id": 1,
      "cashier_name": "Ali Owner",
      "invoices": 2,
      "net_sales": 27.0,
      "avg_invoice_value": 13.5
    },
    {
      "cashier_id": 3,
      "cashier_name": "Bilal Cashier",
      "invoices": 3,
      "net_sales": 51.0,
      "avg_invoice_value": 17.0
    }
  ]
}</t>
  </si>
  <si>
    <t xml:space="preserve">Internal Server Error: /api/analytics/sales/payment-methods/
Traceback (most recent call last):
  File "D:\My personal projects\pharmacy_erp_backend\venv\Lib\site-packages\django\db\backends\utils.py", line 105, in _execute
    return self.cursor.execute(sql, params)
           ^^^^^^^^^^^^^^^^^^^^^^^^^^^^^^^^
psycopg2.errors.AmbiguousColumn: column reference "total_amount" is ambiguous
LINE 11:     ORDER BY total_amount DESC
                      ^
DETAIL:  It could refer to either a PL/pgSQL variable or a table column.
QUERY:  SELECT
        sp.method::VARCHAR,
        SUM(sp.amount)::NUMERIC,
        COUNT(*)::BIGINT
    FROM sales_sale_payment sp
    JOIN sales_sale s ON s.id = sp.sale_id
    WHERE (p_branch_id IS NULL OR s.branch_id = p_branch_id)
      AND s.status != 'VOIDED'
      AND s.created_at::date BETWEEN p_date_from AND p_date_to
    GROUP BY sp.method
    ORDER BY total_amount DESC
CONTEXT:  PL/pgSQL function fn_payment_method_breakdown(integer,date,date) line 3 at RETURN QUERY
The above exception was the direct cause of the following exception:
Traceback (most recent call last):
  File "D:\My personal projects\pharmacy_erp_backend\venv\Lib\site-packages\django\core\handlers\exception.py", line 55, in inner
    response = get_response(request)
               ^^^^^^^^^^^^^^^^^^^^^
  File "D:\My personal projects\pharmacy_erp_backend\venv\Lib\site-packages\django\core\handlers\base.py", line 197, in _get_response
    response = wrapped_callback(request, *callback_args, **callback_kwargs)
               ^^^^^^^^^^^^^^^^^^^^^^^^^^^^^^^^^^^^^^^^^^^^^^^^^^^^^^^^^^^^
  File "D:\My personal projects\pharmacy_erp_backend\venv\Lib\site-packages\django\views\decorators\csrf.py", line 65, in _view_wrapper
    return view_func(request, *args, **kwargs)
           ^^^^^^^^^^^^^^^^^^^^^^^^^^^^^^^^^^^
  File "D:\My personal projects\pharmacy_erp_backend\venv\Lib\site-packages\django\views\generic\base.py", line 104, in view
    return self.dispatch(request, *args, **kwargs)
           ^^^^^^^^^^^^^^^^^^^^^^^^^^^^^^^^^^^^^^^
  File "D:\My personal projects\pharmacy_erp_backend\venv\Lib\site-packages\rest_framework\views.py", line 509, in dispatch
    response = self.handle_exception(exc)
               ^^^^^^^^^^^^^^^^^^^^^^^^^^
  File "D:\My personal projects\pharmacy_erp_backend\venv\Lib\site-packages\rest_framework\views.py", line 469, in handle_exception
    self.raise_uncaught_exception(exc)
  File "D:\My personal projects\pharmacy_erp_backend\venv\Lib\site-packages\rest_framework\views.py", line 480, in raise_uncaught_exception
    raise exc
  File "D:\My personal projects\pharmacy_erp_backend\venv\Lib\site-packages\rest_framework\views.py", line 506, in dispatch
    response = handler(request, *args, **kwargs)
               ^^^^^^^^^^^^^^^^^^^^^^^^^^^^^^^^^
  File "D:\My personal projects\pharmacy_erp_backend\apps\analytics\views.py", line 87, in get
    data = call_function('fn_payment_method_breakdown', (branch_id, date_from, date_to))
           ^^^^^^^^^^^^^^^^^^^^^^^^^^^^^^^^^^^^^^^^^^^^^^^^^^^^^^^^^^^^^^^^^^^^^^^^^^^^^
  File "D:\My personal projects\pharmacy_erp_backend\apps\analytics\db.py", line 17, in call_function
    cursor.execute(query, params)
  File "D:\My personal projects\pharmacy_erp_backend\venv\Lib\site-packages\django\db\backends\utils.py", line 122, in execute
    return super().execute(sql, params)
           ^^^^^^^^^^^^^^^^^^^^^^^^^^^^
  File "D:\My personal projects\pharmacy_erp_backend\venv\Lib\site-packages\django\db\backends\utils.py", line 79, in execute
    return self._execute_with_wrappers(
           ^^^^^^^^^^^^^^^^^^^^^^^^^^^^
  File "D:\My personal projects\pharmacy_erp_backend\venv\Lib\site-packages\django\db\backends\utils.py", line 92, in _execute_with_wrappers
    return executor(sql, params, many, context)
           ^^^^^^^^^^^^^^^^^^^^^^^^^^^^^^^^^^^^
  File "D:\My personal projects\pharmacy_erp_backend\venv\Lib\site-packages\django\db\backends\utils.py", line 100, in _execute
    with self.db.wrap_database_errors:
  File "D:\My personal projects\pharmacy_erp_backend\venv\Lib\site-packages\django\db\utils.py", line 91, in __exit__
    raise dj_exc_value.with_traceback(traceback) from exc_value
  File "D:\My personal projects\pharmacy_erp_backend\venv\Lib\site-packages\django\db\backends\utils.py", line 105, in _execute
    return self.cursor.execute(sql, params)
           ^^^^^^^^^^^^^^^^^^^^^^^^^^^^^^^^
django.db.utils.ProgrammingError: column reference "total_amount" is ambiguous
LINE 11:     ORDER BY total_amount DESC
                      ^
DETAIL:  It could refer to either a PL/pgSQL variable or a table column.
QUERY:  SELECT
        sp.method::VARCHAR,
        SUM(sp.amount)::NUMERIC,
        COUNT(*)::BIGINT
    FROM sales_sale_payment sp
    JOIN sales_sale s ON s.id = sp.sale_id
    WHERE (p_branch_id IS NULL OR s.branch_id = p_branch_id)
      AND s.status != 'VOIDED'
      AND s.created_at::date BETWEEN p_date_from AND p_date_to
    GROUP BY sp.method
    ORDER BY total_amount DESC
CONTEXT:  PL/pgSQL function fn_payment_method_breakdown(integer,date,date) line 3 at RETURN QUERY
Internal Server Error: /api/analytics/sales/payment-methods/
Traceback (most recent call last):
  File "D:\My personal projects\pharmacy_erp_backend\venv\Lib\site-packages\django\db\backends\utils.py", line 105, in _execute
    return self.cursor.execute(sql, params)
           ^^^^^^^^^^^^^^^^^^^^^^^^^^^^^^^^
psycopg2.errors.AmbiguousColumn: column reference "total_amount" is ambiguous
LINE 11:     ORDER BY total_amount DESC
                      ^
DETAIL:  It could refer to either a PL/pgSQL variable or a table column.
QUERY:  SELECT
        sp.method::VARCHAR,
        SUM(sp.amount)::NUMERIC,
        COUNT(*)::BIGINT
    FROM sales_sale_payment sp
    JOIN sales_sale s ON s.id = sp.sale_id
    WHERE (p_branch_id IS NULL OR s.branch_id = p_branch_id)
      AND s.status != 'VOIDED'
      AND s.created_at::date BETWEEN p_date_from AND p_date_to
    GROUP BY sp.method
    ORDER BY total_amount DESC
CONTEXT:  PL/pgSQL function fn_payment_method_breakdown(integer,date,date) line 3 at RETURN QUERY
The above exception was the direct cause of the following exception:
Traceback (most recent call last):
  File "D:\My personal projects\pharmacy_erp_backend\venv\Lib\site-packages\django\core\handlers\exception.py", line 55, in inner
    response = get_response(request)
               ^^^^^^^^^^^^^^^^^^^^^
  File "D:\My personal projects\pharmacy_erp_backend\venv\Lib\site-packages\django\core\handlers\base.py", line 197, in _get_response
    response = wrapped_callback(request, *callback_args, **callback_kwargs)
               ^^^^^^^^^^^^^^^^^^^^^^^^^^^^^^^^^^^^^^^^^^^^^^^^^^^^^^^^^^^^
  File "D:\My personal projects\pharmacy_erp_backend\venv\Lib\site-packages\django\views\decorators\csrf.py", line 65, in _view_wrapper
    return view_func(request, *args, **kwargs)
           ^^^^^^^^^^^^^^^^^^^^^^^^^^^^^^^^^^^
  File "D:\My personal projects\pharmacy_erp_backend\venv\Lib\site-packages\django\views\generic\base.py", line 104, in view
    return self.dispatch(request, *args, **kwargs)
           ^^^^^^^^^^^^^^^^^^^^^^^^^^^^^^^^^^^^^^^
  File "D:\My personal projects\pharmacy_erp_backend\venv\Lib\site-packages\rest_framework\views.py", line 509, in dispatch
    response = self.handle_exception(exc)
               ^^^^^^^^^^^^^^^^^^^^^^^^^^
  File "D:\My personal projects\pharmacy_erp_backend\venv\Lib\site-packages\rest_framework\views.py", line 469, in handle_exception
    self.raise_uncaught_exception(exc)
  File "D:\My personal projects\pharmacy_erp_backend\venv\Lib\site-packages\rest_framework\views.py", line 480, in raise_uncaught_exception
    raise exc
  File "D:\My personal projects\pharmacy_erp_backend\venv\Lib\site-packages\rest_framework\views.py", line 506, in dispatch
    response = handler(request, *args, **kwargs)
               ^^^^^^^^^^^^^^^^^^^^^^^^^^^^^^^^^
  File "D:\My personal projects\pharmacy_erp_backend\apps\analytics\views.py", line 87, in get
    data = call_function('fn_payment_method_breakdown', (branch_id, date_from, date_to))
           ^^^^^^^^^^^^^^^^^^^^^^^^^^^^^^^^^^^^^^^^^^^^^^^^^^^^^^^^^^^^^^^^^^^^^^^^^^^^^
  File "D:\My personal projects\pharmacy_erp_backend\apps\analytics\db.py", line 17, in call_function
    cursor.execute(query, params)
  File "D:\My personal projects\pharmacy_erp_backend\venv\Lib\site-packages\django\db\backends\utils.py", line 122, in execute
    return super().execute(sql, params)
           ^^^^^^^^^^^^^^^^^^^^^^^^^^^^
  File "D:\My personal projects\pharmacy_erp_backend\venv\Lib\site-packages\django\db\backends\utils.py", line 79, in execute
    return self._execute_with_wrappers(
           ^^^^^^^^^^^^^^^^^^^^^^^^^^^^
  File "D:\My personal projects\pharmacy_erp_backend\venv\Lib\site-packages\django\db\backends\utils.py", line 92, in _execute_with_wrappers
    return executor(sql, params, many, context)
           ^^^^^^^^^^^^^^^^^^^^^^^^^^^^^^^^^^^^
  File "D:\My personal projects\pharmacy_erp_backend\venv\Lib\site-packages\django\db\backends\utils.py", line 100, in _execute
    with self.db.wrap_database_errors:
  File "D:\My personal projects\pharmacy_erp_backend\venv\Lib\site-packages\django\db\utils.py", line 91, in __exit__
    raise dj_exc_value.with_traceback(traceback) from exc_value
  File "D:\My personal projects\pharmacy_erp_backend\venv\Lib\site-packages\django\db\backends\utils.py", line 105, in _execute
    return self.cursor.execute(sql, params)
           ^^^^^^^^^^^^^^^^^^^^^^^^^^^^^^^^
django.db.utils.ProgrammingError: column reference "total_amount" is ambiguous
LINE 11:     ORDER BY total_amount DESC
                      ^
DETAIL:  It could refer to either a PL/pgSQL variable or a table column.
QUERY:  SELECT
        sp.method::VARCHAR,
        SUM(sp.amount)::NUMERIC,
        COUNT(*)::BIGINT
    FROM sales_sale_payment sp
    JOIN sales_sale s ON s.id = sp.sale_id
    WHERE (p_branch_id IS NULL OR s.branch_id = p_branch_id)
      AND s.status != 'VOIDED'
      AND s.created_at::date BETWEEN p_date_from AND p_date_to
    GROUP BY sp.method
    ORDER BY total_amount DESC
CONTEXT:  PL/pgSQL function fn_payment_method_breakdown(integer,date,date) line 3 at RETURN QUERY
[11/Sep/2026 19:10:46] "GET /api/analytics/sales/payment-methods/?branch=1&amp;date_from=2026-01-01&amp;date_to=2026-12-31 HTTP/1.1" 500 144302
</t>
  </si>
  <si>
    <t>{
  "branch_id": 1,
  "summary": {
    "total_batches": 3,
    "total_units": 150,
    "total_cost_value": 1408.0,
    "total_retail_value": 2112.0,
    "potential_profit": 704.0
  }
}</t>
  </si>
  <si>
    <t>{
  "results": [
    {
      "branch_id": 1,
      "branch_name": "Main Pharmacy",
      "total_units": 150,
      "total_cost_value": 1408.0,
      "total_retail_value": 2112.0
    },
    {
      "branch_id": 2,
      "branch_name": "North Pharmacy",
      "total_units": 10,
      "total_cost_value": 100.0,
      "total_retail_value": 150.0
    },
    {
      "branch_id": 3,
      "branch_name": "North Town Branch",
      "total_units": 0,
      "total_cost_value": 0.0,
      "total_retail_value": 0.0
    }
  ]
}</t>
  </si>
  <si>
    <t>{
  "branch_id": 1,
  "days": 60,
  "results": []
}</t>
  </si>
  <si>
    <t>{
  "branch_id": 1,
  "results": [
    {
      "medicine_id": 2,
      "medicine_name": "Amoxicillin 500mg",
      "sku": "AMX-500",
      "total_remaining": 0,
      "reorder_level": 20
    }
  ]
}</t>
  </si>
  <si>
    <t>{
  "branch_id": 1,
  "total_balance": 0.0,
  "accounts": [
    {
      "bank_account_id": 1,
      "bank_name": "Demo Bank",
      "account_number": "DEMO-ACC-001",
      "branch_name": "Main Pharmacy",
      "current_balance": 0.0
    }
  ]
}</t>
  </si>
  <si>
    <t>{
  "date_from": "2026-01-01",
  "date_to": "2026-12-31",
  "results": [
    {
      "branch_id": 1,
      "branch_name": "Main Pharmacy",
      "cash_sales": 74.0,
      "cash_deposited_to_bank": 0.0,
      "estimated_cash_on_hand": 74.0
    }
  ]
}</t>
  </si>
  <si>
    <t>{
  "date_from": "2026-01-01",
  "date_to": "2026-12-31",
  "results": []
}</t>
  </si>
  <si>
    <t>{
  "branch_id": 1,
  "date_from": "2026-01-01",
  "date_to": "2026-12-31",
  "summary": {
    "net_sales": 78.0,
    "cost_of_goods_sold": 42.0,
    "gross_profit": 36.0,
    "total_expenses": 0.0,
    "net_profit": 36.0
  }
}</t>
  </si>
  <si>
    <t>{
  "branch_id": 1,
  "total_due": 280.0,
  "suppliers": [
    {
      "supplier_id": 1,
      "supplier_name": "Demo Distributors",
      "total_purchased": 280.0,
      "total_paid": 0.0,
      "balance_due": 280.0
    },
    {
      "supplier_id": 2,
      "supplier_name": "MediCorp Distributors",
      "total_purchased": 0.0,
      "total_paid": 0.0,
      "balance_due": 0.0
    }
  ]
}</t>
  </si>
  <si>
    <t>{
  "id": 2,
  "branch": null,
  "branch_name": "Head Office",
  "bank_name": "HBL",
  "account_title": "Pharmacy Chain Head Office",
  "account_number": "01234567890123",
  "iban": "",
  "current_balance": "0.00",
  "is_active": true,
  "created_at": "2026-09-11T19:17:52.950722+05:00"
}</t>
  </si>
  <si>
    <t>{
  "id": 3,
  "branch": 1,
  "branch_name": "Main Pharmacy",
  "bank_name": "Meezan Bank",
  "account_title": "Main Pharmacy",
  "account_number": "9988776655",
  "iban": "",
  "current_balance": "0.00",
  "is_active": true,
  "created_at": "2026-09-11T19:18:24.459955+05:00"
}</t>
  </si>
  <si>
    <t>{
  "id": 1,
  "branch": 1,
  "branch_name": "Main Pharmacy",
  "bank_name": "Demo Bank",
  "account_title": "Main Pharmacy Account",
  "account_number": "DEMO-ACC-001",
  "iban": "PK00DEMO0000000000000001",
  "current_balance": "0.00",
  "is_active": true,
  "created_at": "2026-09-05T13:34:46.469091+05:00"
}</t>
  </si>
  <si>
    <t>{
  "id": 1,
  "bank_account": 1,
  "bank_name": "Demo Bank",
  "branch": 1,
  "branch_name": "Main Pharmacy",
  "tx_type": "DEPOSIT",
  "amount": "5000.00",
  "reference_number": "DEP-001",
  "note": "End of day cash deposit",
  "is_inflow": true,
  "created_by": 4,
  "created_at": "2026-09-11T19:21:28.647674+05:00"
}</t>
  </si>
  <si>
    <t>{
  "id": 2,
  "bank_account": 1,
  "bank_name": "Demo Bank",
  "branch": null,
  "branch_name": null,
  "tx_type": "SUPPLIER_PAYMENT",
  "amount": "1200.00",
  "reference_number": "PAY-777",
  "note": "",
  "is_inflow": false,
  "created_by": 4,
  "created_at": "2026-09-11T19:22:01.778240+05:00"
}</t>
  </si>
  <si>
    <t>{
  "count": 1,
  "next": null,
  "previous": null,
  "results": [
    {
      "id": 1,
      "bank_account": 1,
      "bank_name": "Demo Bank",
      "branch": 1,
      "branch_name": "Main Pharmacy",
      "tx_type": "DEPOSIT",
      "amount": "5000.00",
      "reference_number": "DEP-001",
      "note": "End of day cash deposit",
      "is_inflow": true,
      "created_by": 4,
      "created_at": "2026-09-11T19:21:28.647674+05:00"
    }
  ]
}</t>
  </si>
  <si>
    <t>{
  "success": false,
  "errors": {
    "detail": "No CashRegister matches the given query."
  },
  "status_code": 404
}</t>
  </si>
  <si>
    <t>{
  "id": 6,
  "name": "Electricity"
}</t>
  </si>
  <si>
    <t>{
  "id": 1,
  "branch": 1,
  "branch_name": "Main Pharmacy",
  "category": 2,
  "category_name": "Utilities",
  "amount": "6000.00",
  "paid_from": "BANK",
  "bank_account": 1,
  "description": "Electricity bill",
  "expense_date": "2026-09-11",
  "created_by": 4,
  "created_at": "2026-09-11T19:28:53.922046+05:00"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</si>
</sst>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4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1F8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double">
        <color auto="1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0" fontId="1" fillId="0" borderId="0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6" fillId="3" borderId="2" xfId="0" applyFont="1" applyFill="1" applyBorder="1"/>
    <xf numFmtId="0" fontId="4" fillId="3" borderId="2" xfId="0" applyFont="1" applyFill="1" applyBorder="1"/>
    <xf numFmtId="9" fontId="4" fillId="3" borderId="2" xfId="0" applyNumberFormat="1" applyFont="1" applyFill="1" applyBorder="1"/>
    <xf numFmtId="0" fontId="4" fillId="0" borderId="0" xfId="0" applyFont="1"/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6"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zoomScale="67" zoomScaleNormal="67" workbookViewId="0">
      <pane ySplit="4" topLeftCell="A5" activePane="bottomLeft" state="frozen"/>
      <selection pane="bottomLeft" activeCell="L12" sqref="L12"/>
    </sheetView>
  </sheetViews>
  <sheetFormatPr defaultColWidth="8.6328125" defaultRowHeight="14.5" x14ac:dyDescent="0.35"/>
  <cols>
    <col min="1" max="1" width="20" customWidth="1"/>
    <col min="2" max="2" width="16" customWidth="1"/>
    <col min="3" max="5" width="10" customWidth="1"/>
    <col min="6" max="7" width="13" customWidth="1"/>
  </cols>
  <sheetData>
    <row r="1" spans="1:7" ht="25.5" customHeight="1" x14ac:dyDescent="0.5">
      <c r="A1" s="4" t="s">
        <v>0</v>
      </c>
      <c r="B1" s="4"/>
      <c r="C1" s="4"/>
      <c r="D1" s="4"/>
      <c r="E1" s="4"/>
      <c r="F1" s="4"/>
    </row>
    <row r="2" spans="1:7" ht="30" customHeight="1" x14ac:dyDescent="0.35">
      <c r="A2" s="3" t="s">
        <v>1</v>
      </c>
      <c r="B2" s="3"/>
      <c r="C2" s="3"/>
      <c r="D2" s="3"/>
      <c r="E2" s="3"/>
      <c r="F2" s="3"/>
    </row>
    <row r="4" spans="1:7" ht="24" customHeight="1" x14ac:dyDescent="0.3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7" x14ac:dyDescent="0.35">
      <c r="A5" s="6" t="s">
        <v>9</v>
      </c>
      <c r="B5" s="7">
        <f>COUNTA(Auth!$A$5:$A$25)</f>
        <v>21</v>
      </c>
      <c r="C5" s="7">
        <f>COUNTIF(Auth!$L$5:$L$25,"Pass")</f>
        <v>21</v>
      </c>
      <c r="D5" s="7">
        <f>COUNTIF(Auth!$L$5:$L$25,"Fail")</f>
        <v>0</v>
      </c>
      <c r="E5" s="7">
        <f>COUNTIF(Auth!$L$5:$L$25,"Blocked")</f>
        <v>0</v>
      </c>
      <c r="F5" s="7">
        <f>COUNTIF(Auth!$L$5:$L$25,"Not Tested")</f>
        <v>0</v>
      </c>
      <c r="G5" s="8">
        <f t="shared" ref="G5:G14" si="0">IFERROR((C5+D5+E5)/B5,0)</f>
        <v>1</v>
      </c>
    </row>
    <row r="6" spans="1:7" x14ac:dyDescent="0.35">
      <c r="A6" s="6" t="s">
        <v>10</v>
      </c>
      <c r="B6" s="7">
        <f>COUNTA(Branches!$A$5:$A$12)</f>
        <v>8</v>
      </c>
      <c r="C6" s="7">
        <f>COUNTIF(Branches!$L$5:$L$12,"Pass")</f>
        <v>8</v>
      </c>
      <c r="D6" s="7">
        <f>COUNTIF(Branches!$L$5:$L$12,"Fail")</f>
        <v>0</v>
      </c>
      <c r="E6" s="7">
        <f>COUNTIF(Branches!$L$5:$L$12,"Blocked")</f>
        <v>0</v>
      </c>
      <c r="F6" s="7">
        <f>COUNTIF(Branches!$L$5:$L$12,"Not Tested")</f>
        <v>0</v>
      </c>
      <c r="G6" s="8">
        <f t="shared" si="0"/>
        <v>1</v>
      </c>
    </row>
    <row r="7" spans="1:7" x14ac:dyDescent="0.35">
      <c r="A7" s="6" t="s">
        <v>11</v>
      </c>
      <c r="B7" s="7">
        <f>COUNTA(Inventory!$A$5:$A$23)</f>
        <v>19</v>
      </c>
      <c r="C7" s="7">
        <f>COUNTIF(Inventory!$L$5:$L$23,"Pass")</f>
        <v>19</v>
      </c>
      <c r="D7" s="7">
        <f>COUNTIF(Inventory!$L$5:$L$23,"Fail")</f>
        <v>0</v>
      </c>
      <c r="E7" s="7">
        <f>COUNTIF(Inventory!$L$5:$L$23,"Blocked")</f>
        <v>0</v>
      </c>
      <c r="F7" s="7">
        <f>COUNTIF(Inventory!$L$5:$L$23,"Not Tested")</f>
        <v>0</v>
      </c>
      <c r="G7" s="8">
        <f t="shared" si="0"/>
        <v>1</v>
      </c>
    </row>
    <row r="8" spans="1:7" x14ac:dyDescent="0.35">
      <c r="A8" s="6" t="s">
        <v>12</v>
      </c>
      <c r="B8" s="7">
        <f>COUNTA(Suppliers!$A$5:$A$18)</f>
        <v>14</v>
      </c>
      <c r="C8" s="7">
        <f>COUNTIF(Suppliers!$L$5:$L$18,"Pass")</f>
        <v>12</v>
      </c>
      <c r="D8" s="7">
        <f>COUNTIF(Suppliers!$L$5:$L$18,"Fail")</f>
        <v>2</v>
      </c>
      <c r="E8" s="7">
        <f>COUNTIF(Suppliers!$L$5:$L$18,"Blocked")</f>
        <v>0</v>
      </c>
      <c r="F8" s="7">
        <f>COUNTIF(Suppliers!$L$5:$L$18,"Not Tested")</f>
        <v>0</v>
      </c>
      <c r="G8" s="8">
        <f t="shared" si="0"/>
        <v>1</v>
      </c>
    </row>
    <row r="9" spans="1:7" x14ac:dyDescent="0.35">
      <c r="A9" s="6" t="s">
        <v>13</v>
      </c>
      <c r="B9" s="7">
        <f>COUNTA('Sales-POS'!$A$5:$A$19)</f>
        <v>15</v>
      </c>
      <c r="C9" s="7">
        <f>COUNTIF('Sales-POS'!$L$5:$L$19,"Pass")</f>
        <v>13</v>
      </c>
      <c r="D9" s="7">
        <f>COUNTIF('Sales-POS'!$L$5:$L$19,"Fail")</f>
        <v>2</v>
      </c>
      <c r="E9" s="7">
        <f>COUNTIF('Sales-POS'!$L$5:$L$19,"Blocked")</f>
        <v>0</v>
      </c>
      <c r="F9" s="7">
        <f>COUNTIF('Sales-POS'!$L$5:$L$19,"Not Tested")</f>
        <v>0</v>
      </c>
      <c r="G9" s="8">
        <f t="shared" si="0"/>
        <v>1</v>
      </c>
    </row>
    <row r="10" spans="1:7" x14ac:dyDescent="0.35">
      <c r="A10" s="6" t="s">
        <v>14</v>
      </c>
      <c r="B10" s="7">
        <f>COUNTA(Finance!$A$5:$A$16)</f>
        <v>12</v>
      </c>
      <c r="C10" s="7">
        <f>COUNTIF(Finance!$L$5:$L$16,"Pass")</f>
        <v>9</v>
      </c>
      <c r="D10" s="7">
        <f>COUNTIF(Finance!$L$5:$L$16,"Fail")</f>
        <v>3</v>
      </c>
      <c r="E10" s="7">
        <f>COUNTIF(Finance!$L$5:$L$16,"Blocked")</f>
        <v>0</v>
      </c>
      <c r="F10" s="7">
        <f>COUNTIF(Finance!$L$5:$L$16,"Not Tested")</f>
        <v>0</v>
      </c>
      <c r="G10" s="8">
        <f t="shared" si="0"/>
        <v>1</v>
      </c>
    </row>
    <row r="11" spans="1:7" x14ac:dyDescent="0.35">
      <c r="A11" s="6" t="s">
        <v>15</v>
      </c>
      <c r="B11" s="7">
        <f>COUNTA(CRM!$A$5:$A$11)</f>
        <v>7</v>
      </c>
      <c r="C11" s="7">
        <f>COUNTIF(CRM!$L$5:$L$11,"Pass")</f>
        <v>7</v>
      </c>
      <c r="D11" s="7">
        <f>COUNTIF(CRM!$L$5:$L$11,"Fail")</f>
        <v>0</v>
      </c>
      <c r="E11" s="7">
        <f>COUNTIF(CRM!$L$5:$L$11,"Blocked")</f>
        <v>0</v>
      </c>
      <c r="F11" s="7">
        <f>COUNTIF(CRM!$L$5:$L$11,"Not Tested")</f>
        <v>0</v>
      </c>
      <c r="G11" s="8">
        <f t="shared" si="0"/>
        <v>1</v>
      </c>
    </row>
    <row r="12" spans="1:7" x14ac:dyDescent="0.35">
      <c r="A12" s="6" t="s">
        <v>16</v>
      </c>
      <c r="B12" s="7">
        <f>COUNTA(Analytics!$A$5:$A$24)</f>
        <v>20</v>
      </c>
      <c r="C12" s="7">
        <f>COUNTIF(Analytics!$L$5:$L$24,"Pass")</f>
        <v>19</v>
      </c>
      <c r="D12" s="7">
        <f>COUNTIF(Analytics!$L$5:$L$24,"Fail")</f>
        <v>1</v>
      </c>
      <c r="E12" s="7">
        <f>COUNTIF(Analytics!$L$5:$L$24,"Blocked")</f>
        <v>0</v>
      </c>
      <c r="F12" s="7">
        <f>COUNTIF(Analytics!$L$5:$L$24,"Not Tested")</f>
        <v>0</v>
      </c>
      <c r="G12" s="8">
        <f t="shared" si="0"/>
        <v>1</v>
      </c>
    </row>
    <row r="13" spans="1:7" x14ac:dyDescent="0.35">
      <c r="A13" s="6" t="s">
        <v>17</v>
      </c>
      <c r="B13" s="7">
        <f>COUNTA(RBAC!$A$5:$A$15)</f>
        <v>11</v>
      </c>
      <c r="C13" s="7">
        <f>COUNTIF(RBAC!$L$5:$L$15,"Pass")</f>
        <v>11</v>
      </c>
      <c r="D13" s="7">
        <f>COUNTIF(RBAC!$L$5:$L$15,"Fail")</f>
        <v>0</v>
      </c>
      <c r="E13" s="7">
        <f>COUNTIF(RBAC!$L$5:$L$15,"Blocked")</f>
        <v>0</v>
      </c>
      <c r="F13" s="7">
        <f>COUNTIF(RBAC!$L$5:$L$15,"Not Tested")</f>
        <v>0</v>
      </c>
      <c r="G13" s="8">
        <f t="shared" si="0"/>
        <v>1</v>
      </c>
    </row>
    <row r="14" spans="1:7" x14ac:dyDescent="0.35">
      <c r="A14" s="9" t="s">
        <v>18</v>
      </c>
      <c r="B14" s="10">
        <f>SUM(B5:B13)</f>
        <v>127</v>
      </c>
      <c r="C14" s="10">
        <f>SUM(C5:C13)</f>
        <v>119</v>
      </c>
      <c r="D14" s="10">
        <f>SUM(D5:D13)</f>
        <v>8</v>
      </c>
      <c r="E14" s="10">
        <f>SUM(E5:E13)</f>
        <v>0</v>
      </c>
      <c r="F14" s="10">
        <f>SUM(F5:F13)</f>
        <v>0</v>
      </c>
      <c r="G14" s="11">
        <f t="shared" si="0"/>
        <v>1</v>
      </c>
    </row>
    <row r="17" spans="1:7" x14ac:dyDescent="0.35">
      <c r="A17" s="12" t="s">
        <v>19</v>
      </c>
    </row>
    <row r="18" spans="1:7" x14ac:dyDescent="0.35">
      <c r="A18" s="2" t="s">
        <v>20</v>
      </c>
      <c r="B18" s="2"/>
      <c r="C18" s="2"/>
      <c r="D18" s="2"/>
      <c r="E18" s="2"/>
      <c r="F18" s="2"/>
      <c r="G18" s="2"/>
    </row>
    <row r="19" spans="1:7" x14ac:dyDescent="0.35">
      <c r="A19" s="2" t="s">
        <v>21</v>
      </c>
      <c r="B19" s="2"/>
      <c r="C19" s="2"/>
      <c r="D19" s="2"/>
      <c r="E19" s="2"/>
      <c r="F19" s="2"/>
      <c r="G19" s="2"/>
    </row>
    <row r="20" spans="1:7" x14ac:dyDescent="0.35">
      <c r="A20" s="2" t="s">
        <v>22</v>
      </c>
      <c r="B20" s="2"/>
      <c r="C20" s="2"/>
      <c r="D20" s="2"/>
      <c r="E20" s="2"/>
      <c r="F20" s="2"/>
      <c r="G20" s="2"/>
    </row>
    <row r="21" spans="1:7" x14ac:dyDescent="0.35">
      <c r="A21" s="2" t="s">
        <v>23</v>
      </c>
      <c r="B21" s="2"/>
      <c r="C21" s="2"/>
      <c r="D21" s="2"/>
      <c r="E21" s="2"/>
      <c r="F21" s="2"/>
      <c r="G21" s="2"/>
    </row>
    <row r="22" spans="1:7" x14ac:dyDescent="0.35">
      <c r="A22" s="2" t="s">
        <v>24</v>
      </c>
      <c r="B22" s="2"/>
      <c r="C22" s="2"/>
      <c r="D22" s="2"/>
      <c r="E22" s="2"/>
      <c r="F22" s="2"/>
      <c r="G22" s="2"/>
    </row>
  </sheetData>
  <mergeCells count="7">
    <mergeCell ref="A21:G21"/>
    <mergeCell ref="A22:G22"/>
    <mergeCell ref="A1:F1"/>
    <mergeCell ref="A2:F2"/>
    <mergeCell ref="A18:G18"/>
    <mergeCell ref="A19:G19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showGridLines="0" topLeftCell="E1" zoomScale="67" zoomScaleNormal="67" workbookViewId="0">
      <pane ySplit="4" topLeftCell="A5" activePane="bottomLeft" state="frozen"/>
      <selection pane="bottomLeft" activeCell="O5" sqref="O5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30" customWidth="1"/>
    <col min="4" max="4" width="9" customWidth="1"/>
    <col min="5" max="5" width="34" customWidth="1"/>
    <col min="6" max="6" width="14" customWidth="1"/>
    <col min="7" max="7" width="26" customWidth="1"/>
    <col min="8" max="8" width="42" customWidth="1"/>
    <col min="9" max="9" width="13" customWidth="1"/>
    <col min="10" max="10" width="34" customWidth="1"/>
    <col min="11" max="11" width="26" customWidth="1"/>
    <col min="12" max="12" width="11" customWidth="1"/>
    <col min="13" max="13" width="24" customWidth="1"/>
    <col min="14" max="14" width="12" customWidth="1"/>
    <col min="15" max="15" width="13" customWidth="1"/>
  </cols>
  <sheetData>
    <row r="1" spans="1:15" ht="21.75" customHeight="1" x14ac:dyDescent="0.4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35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7.75" customHeight="1" x14ac:dyDescent="0.3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</row>
    <row r="5" spans="1:15" ht="45.75" customHeight="1" x14ac:dyDescent="0.35">
      <c r="A5" s="13" t="s">
        <v>42</v>
      </c>
      <c r="B5" s="13" t="s">
        <v>9</v>
      </c>
      <c r="C5" s="13" t="s">
        <v>43</v>
      </c>
      <c r="D5" s="13" t="s">
        <v>44</v>
      </c>
      <c r="E5" s="13" t="s">
        <v>45</v>
      </c>
      <c r="F5" s="13" t="s">
        <v>46</v>
      </c>
      <c r="G5" s="13" t="s">
        <v>47</v>
      </c>
      <c r="H5" s="13" t="s">
        <v>48</v>
      </c>
      <c r="I5" s="13" t="s">
        <v>49</v>
      </c>
      <c r="J5" s="13" t="s">
        <v>50</v>
      </c>
      <c r="K5" s="13" t="s">
        <v>712</v>
      </c>
      <c r="L5" s="13" t="s">
        <v>4</v>
      </c>
      <c r="M5" s="13"/>
      <c r="N5" s="13" t="s">
        <v>713</v>
      </c>
      <c r="O5" s="13" t="s">
        <v>714</v>
      </c>
    </row>
    <row r="6" spans="1:15" ht="45.75" customHeight="1" x14ac:dyDescent="0.35">
      <c r="A6" s="13" t="s">
        <v>51</v>
      </c>
      <c r="B6" s="13" t="s">
        <v>9</v>
      </c>
      <c r="C6" s="13" t="s">
        <v>43</v>
      </c>
      <c r="D6" s="13" t="s">
        <v>44</v>
      </c>
      <c r="E6" s="13" t="s">
        <v>52</v>
      </c>
      <c r="F6" s="13" t="s">
        <v>53</v>
      </c>
      <c r="G6" s="13" t="s">
        <v>54</v>
      </c>
      <c r="H6" s="13" t="s">
        <v>55</v>
      </c>
      <c r="I6" s="13" t="s">
        <v>49</v>
      </c>
      <c r="J6" s="13" t="s">
        <v>56</v>
      </c>
      <c r="K6" s="13" t="s">
        <v>715</v>
      </c>
      <c r="L6" s="13" t="s">
        <v>4</v>
      </c>
      <c r="M6" s="13"/>
      <c r="N6" s="13" t="s">
        <v>713</v>
      </c>
      <c r="O6" s="13" t="s">
        <v>716</v>
      </c>
    </row>
    <row r="7" spans="1:15" ht="45.75" customHeight="1" x14ac:dyDescent="0.35">
      <c r="A7" s="13" t="s">
        <v>57</v>
      </c>
      <c r="B7" s="13" t="s">
        <v>9</v>
      </c>
      <c r="C7" s="13" t="s">
        <v>43</v>
      </c>
      <c r="D7" s="13" t="s">
        <v>44</v>
      </c>
      <c r="E7" s="13" t="s">
        <v>58</v>
      </c>
      <c r="F7" s="13" t="s">
        <v>59</v>
      </c>
      <c r="G7" s="13" t="s">
        <v>60</v>
      </c>
      <c r="H7" s="13" t="s">
        <v>61</v>
      </c>
      <c r="I7" s="13" t="s">
        <v>62</v>
      </c>
      <c r="J7" s="13" t="s">
        <v>63</v>
      </c>
      <c r="K7" s="13" t="s">
        <v>717</v>
      </c>
      <c r="L7" s="13" t="s">
        <v>4</v>
      </c>
      <c r="M7" s="13"/>
      <c r="N7" s="13" t="s">
        <v>713</v>
      </c>
      <c r="O7" s="13" t="s">
        <v>731</v>
      </c>
    </row>
    <row r="8" spans="1:15" ht="45.75" customHeight="1" x14ac:dyDescent="0.35">
      <c r="A8" s="13" t="s">
        <v>64</v>
      </c>
      <c r="B8" s="13" t="s">
        <v>9</v>
      </c>
      <c r="C8" s="13" t="s">
        <v>43</v>
      </c>
      <c r="D8" s="13" t="s">
        <v>44</v>
      </c>
      <c r="E8" s="13" t="s">
        <v>65</v>
      </c>
      <c r="F8" s="13" t="s">
        <v>59</v>
      </c>
      <c r="G8" s="13" t="s">
        <v>60</v>
      </c>
      <c r="H8" s="13" t="s">
        <v>66</v>
      </c>
      <c r="I8" s="13" t="s">
        <v>62</v>
      </c>
      <c r="J8" s="13" t="s">
        <v>67</v>
      </c>
      <c r="K8" s="13" t="s">
        <v>717</v>
      </c>
      <c r="L8" s="13" t="s">
        <v>4</v>
      </c>
      <c r="M8" s="13"/>
      <c r="N8" s="13" t="s">
        <v>713</v>
      </c>
      <c r="O8" s="13" t="s">
        <v>732</v>
      </c>
    </row>
    <row r="9" spans="1:15" ht="45.75" customHeight="1" x14ac:dyDescent="0.35">
      <c r="A9" s="13" t="s">
        <v>68</v>
      </c>
      <c r="B9" s="13" t="s">
        <v>9</v>
      </c>
      <c r="C9" s="13" t="s">
        <v>43</v>
      </c>
      <c r="D9" s="13" t="s">
        <v>44</v>
      </c>
      <c r="E9" s="13" t="s">
        <v>69</v>
      </c>
      <c r="F9" s="13" t="s">
        <v>59</v>
      </c>
      <c r="G9" s="13" t="s">
        <v>60</v>
      </c>
      <c r="H9" s="13" t="s">
        <v>70</v>
      </c>
      <c r="I9" s="13" t="s">
        <v>71</v>
      </c>
      <c r="J9" s="13" t="s">
        <v>72</v>
      </c>
      <c r="K9" s="13" t="s">
        <v>718</v>
      </c>
      <c r="L9" s="13" t="s">
        <v>4</v>
      </c>
      <c r="M9" s="13"/>
      <c r="N9" s="13" t="s">
        <v>713</v>
      </c>
      <c r="O9" s="13" t="s">
        <v>733</v>
      </c>
    </row>
    <row r="10" spans="1:15" ht="45.75" customHeight="1" x14ac:dyDescent="0.35">
      <c r="A10" s="13" t="s">
        <v>73</v>
      </c>
      <c r="B10" s="13" t="s">
        <v>9</v>
      </c>
      <c r="C10" s="13" t="s">
        <v>74</v>
      </c>
      <c r="D10" s="13" t="s">
        <v>75</v>
      </c>
      <c r="E10" s="13" t="s">
        <v>76</v>
      </c>
      <c r="F10" s="13" t="s">
        <v>77</v>
      </c>
      <c r="G10" s="13" t="s">
        <v>78</v>
      </c>
      <c r="H10" s="13" t="s">
        <v>79</v>
      </c>
      <c r="I10" s="13" t="s">
        <v>49</v>
      </c>
      <c r="J10" s="13" t="s">
        <v>80</v>
      </c>
      <c r="K10" s="13" t="s">
        <v>719</v>
      </c>
      <c r="L10" s="13" t="s">
        <v>4</v>
      </c>
      <c r="M10" s="13"/>
      <c r="N10" s="13" t="s">
        <v>713</v>
      </c>
      <c r="O10" s="13" t="s">
        <v>734</v>
      </c>
    </row>
    <row r="11" spans="1:15" ht="45.75" customHeight="1" x14ac:dyDescent="0.35">
      <c r="A11" s="13" t="s">
        <v>81</v>
      </c>
      <c r="B11" s="13" t="s">
        <v>9</v>
      </c>
      <c r="C11" s="13" t="s">
        <v>74</v>
      </c>
      <c r="D11" s="13" t="s">
        <v>75</v>
      </c>
      <c r="E11" s="13" t="s">
        <v>82</v>
      </c>
      <c r="F11" s="13" t="s">
        <v>83</v>
      </c>
      <c r="G11" s="13" t="s">
        <v>84</v>
      </c>
      <c r="H11" s="13" t="s">
        <v>85</v>
      </c>
      <c r="I11" s="13" t="s">
        <v>62</v>
      </c>
      <c r="J11" s="13" t="s">
        <v>86</v>
      </c>
      <c r="K11" s="13"/>
      <c r="L11" s="13" t="s">
        <v>4</v>
      </c>
      <c r="M11" s="13"/>
      <c r="N11" s="13" t="s">
        <v>713</v>
      </c>
      <c r="O11" s="13" t="s">
        <v>735</v>
      </c>
    </row>
    <row r="12" spans="1:15" ht="45.75" customHeight="1" x14ac:dyDescent="0.35">
      <c r="A12" s="13" t="s">
        <v>87</v>
      </c>
      <c r="B12" s="13" t="s">
        <v>9</v>
      </c>
      <c r="C12" s="13" t="s">
        <v>74</v>
      </c>
      <c r="D12" s="13" t="s">
        <v>75</v>
      </c>
      <c r="E12" s="13" t="s">
        <v>88</v>
      </c>
      <c r="F12" s="13" t="s">
        <v>83</v>
      </c>
      <c r="G12" s="13" t="s">
        <v>89</v>
      </c>
      <c r="H12" s="13" t="s">
        <v>90</v>
      </c>
      <c r="I12" s="13" t="s">
        <v>62</v>
      </c>
      <c r="J12" s="13" t="s">
        <v>91</v>
      </c>
      <c r="K12" s="13"/>
      <c r="L12" s="13" t="s">
        <v>4</v>
      </c>
      <c r="M12" s="13"/>
      <c r="N12" s="13" t="s">
        <v>713</v>
      </c>
      <c r="O12" s="13" t="s">
        <v>736</v>
      </c>
    </row>
    <row r="13" spans="1:15" ht="45.75" customHeight="1" x14ac:dyDescent="0.35">
      <c r="A13" s="13" t="s">
        <v>92</v>
      </c>
      <c r="B13" s="13" t="s">
        <v>9</v>
      </c>
      <c r="C13" s="13" t="s">
        <v>93</v>
      </c>
      <c r="D13" s="13" t="s">
        <v>44</v>
      </c>
      <c r="E13" s="13" t="s">
        <v>94</v>
      </c>
      <c r="F13" s="13" t="s">
        <v>59</v>
      </c>
      <c r="G13" s="13" t="s">
        <v>95</v>
      </c>
      <c r="H13" s="13" t="s">
        <v>96</v>
      </c>
      <c r="I13" s="13" t="s">
        <v>49</v>
      </c>
      <c r="J13" s="13" t="s">
        <v>97</v>
      </c>
      <c r="K13" s="13" t="s">
        <v>720</v>
      </c>
      <c r="L13" s="13" t="s">
        <v>4</v>
      </c>
      <c r="M13" s="13"/>
      <c r="N13" s="13" t="s">
        <v>713</v>
      </c>
      <c r="O13" s="13" t="s">
        <v>737</v>
      </c>
    </row>
    <row r="14" spans="1:15" ht="45.75" customHeight="1" x14ac:dyDescent="0.35">
      <c r="A14" s="13" t="s">
        <v>98</v>
      </c>
      <c r="B14" s="13" t="s">
        <v>9</v>
      </c>
      <c r="C14" s="13" t="s">
        <v>93</v>
      </c>
      <c r="D14" s="13" t="s">
        <v>44</v>
      </c>
      <c r="E14" s="13" t="s">
        <v>99</v>
      </c>
      <c r="F14" s="13" t="s">
        <v>59</v>
      </c>
      <c r="G14" s="13" t="s">
        <v>100</v>
      </c>
      <c r="H14" s="13" t="s">
        <v>101</v>
      </c>
      <c r="I14" s="13" t="s">
        <v>62</v>
      </c>
      <c r="J14" s="13" t="s">
        <v>102</v>
      </c>
      <c r="K14" s="13"/>
      <c r="L14" s="13" t="s">
        <v>4</v>
      </c>
      <c r="M14" s="13"/>
      <c r="N14" s="13" t="s">
        <v>713</v>
      </c>
      <c r="O14" s="13" t="s">
        <v>738</v>
      </c>
    </row>
    <row r="15" spans="1:15" ht="45.75" customHeight="1" x14ac:dyDescent="0.35">
      <c r="A15" s="13" t="s">
        <v>103</v>
      </c>
      <c r="B15" s="13" t="s">
        <v>9</v>
      </c>
      <c r="C15" s="13" t="s">
        <v>104</v>
      </c>
      <c r="D15" s="13" t="s">
        <v>44</v>
      </c>
      <c r="E15" s="13" t="s">
        <v>105</v>
      </c>
      <c r="F15" s="13" t="s">
        <v>77</v>
      </c>
      <c r="G15" s="13" t="s">
        <v>106</v>
      </c>
      <c r="H15" s="13" t="s">
        <v>107</v>
      </c>
      <c r="I15" s="13" t="s">
        <v>49</v>
      </c>
      <c r="J15" s="13" t="s">
        <v>108</v>
      </c>
      <c r="K15" s="13" t="s">
        <v>721</v>
      </c>
      <c r="L15" s="13" t="s">
        <v>4</v>
      </c>
      <c r="M15" s="13"/>
      <c r="N15" s="13" t="s">
        <v>713</v>
      </c>
      <c r="O15" s="13" t="s">
        <v>739</v>
      </c>
    </row>
    <row r="16" spans="1:15" ht="45.75" customHeight="1" x14ac:dyDescent="0.35">
      <c r="A16" s="13" t="s">
        <v>109</v>
      </c>
      <c r="B16" s="13" t="s">
        <v>9</v>
      </c>
      <c r="C16" s="13" t="s">
        <v>104</v>
      </c>
      <c r="D16" s="13" t="s">
        <v>44</v>
      </c>
      <c r="E16" s="13" t="s">
        <v>110</v>
      </c>
      <c r="F16" s="13" t="s">
        <v>59</v>
      </c>
      <c r="G16" s="13" t="s">
        <v>60</v>
      </c>
      <c r="H16" s="13" t="s">
        <v>111</v>
      </c>
      <c r="I16" s="13" t="s">
        <v>71</v>
      </c>
      <c r="J16" s="13" t="s">
        <v>112</v>
      </c>
      <c r="K16" s="13" t="s">
        <v>722</v>
      </c>
      <c r="L16" s="13" t="s">
        <v>4</v>
      </c>
      <c r="M16" s="13"/>
      <c r="N16" s="13" t="s">
        <v>713</v>
      </c>
      <c r="O16" s="13" t="s">
        <v>740</v>
      </c>
    </row>
    <row r="17" spans="1:15" ht="45.75" customHeight="1" x14ac:dyDescent="0.35">
      <c r="A17" s="13" t="s">
        <v>113</v>
      </c>
      <c r="B17" s="13" t="s">
        <v>9</v>
      </c>
      <c r="C17" s="13" t="s">
        <v>104</v>
      </c>
      <c r="D17" s="13" t="s">
        <v>44</v>
      </c>
      <c r="E17" s="13" t="s">
        <v>114</v>
      </c>
      <c r="F17" s="13" t="s">
        <v>59</v>
      </c>
      <c r="G17" s="13" t="s">
        <v>60</v>
      </c>
      <c r="H17" s="13" t="s">
        <v>115</v>
      </c>
      <c r="I17" s="13" t="s">
        <v>71</v>
      </c>
      <c r="J17" s="13" t="s">
        <v>116</v>
      </c>
      <c r="K17" s="13" t="s">
        <v>723</v>
      </c>
      <c r="L17" s="13" t="s">
        <v>4</v>
      </c>
      <c r="M17" s="13"/>
      <c r="N17" s="13" t="s">
        <v>713</v>
      </c>
      <c r="O17" s="13" t="s">
        <v>741</v>
      </c>
    </row>
    <row r="18" spans="1:15" ht="45.75" customHeight="1" x14ac:dyDescent="0.35">
      <c r="A18" s="13" t="s">
        <v>117</v>
      </c>
      <c r="B18" s="13" t="s">
        <v>9</v>
      </c>
      <c r="C18" s="13" t="s">
        <v>118</v>
      </c>
      <c r="D18" s="13" t="s">
        <v>75</v>
      </c>
      <c r="E18" s="13" t="s">
        <v>119</v>
      </c>
      <c r="F18" s="13" t="s">
        <v>46</v>
      </c>
      <c r="G18" s="13" t="s">
        <v>120</v>
      </c>
      <c r="H18" s="13" t="s">
        <v>121</v>
      </c>
      <c r="I18" s="13" t="s">
        <v>49</v>
      </c>
      <c r="J18" s="13" t="s">
        <v>122</v>
      </c>
      <c r="K18" s="13" t="s">
        <v>724</v>
      </c>
      <c r="L18" s="13" t="s">
        <v>4</v>
      </c>
      <c r="M18" s="13"/>
      <c r="N18" s="13" t="s">
        <v>713</v>
      </c>
      <c r="O18" s="13" t="s">
        <v>742</v>
      </c>
    </row>
    <row r="19" spans="1:15" ht="45.75" customHeight="1" x14ac:dyDescent="0.35">
      <c r="A19" s="13" t="s">
        <v>123</v>
      </c>
      <c r="B19" s="13" t="s">
        <v>9</v>
      </c>
      <c r="C19" s="13" t="s">
        <v>118</v>
      </c>
      <c r="D19" s="13" t="s">
        <v>75</v>
      </c>
      <c r="E19" s="13" t="s">
        <v>124</v>
      </c>
      <c r="F19" s="13" t="s">
        <v>125</v>
      </c>
      <c r="G19" s="13" t="s">
        <v>126</v>
      </c>
      <c r="H19" s="13" t="s">
        <v>121</v>
      </c>
      <c r="I19" s="13" t="s">
        <v>49</v>
      </c>
      <c r="J19" s="13" t="s">
        <v>127</v>
      </c>
      <c r="K19" s="13" t="s">
        <v>729</v>
      </c>
      <c r="L19" s="13" t="s">
        <v>4</v>
      </c>
      <c r="M19" s="13"/>
      <c r="N19" s="13" t="s">
        <v>713</v>
      </c>
      <c r="O19" s="13" t="s">
        <v>743</v>
      </c>
    </row>
    <row r="20" spans="1:15" ht="45.75" customHeight="1" x14ac:dyDescent="0.35">
      <c r="A20" s="13" t="s">
        <v>128</v>
      </c>
      <c r="B20" s="13" t="s">
        <v>9</v>
      </c>
      <c r="C20" s="13" t="s">
        <v>118</v>
      </c>
      <c r="D20" s="13" t="s">
        <v>75</v>
      </c>
      <c r="E20" s="13" t="s">
        <v>129</v>
      </c>
      <c r="F20" s="13" t="s">
        <v>53</v>
      </c>
      <c r="G20" s="13" t="s">
        <v>60</v>
      </c>
      <c r="H20" s="13" t="s">
        <v>121</v>
      </c>
      <c r="I20" s="13" t="s">
        <v>130</v>
      </c>
      <c r="J20" s="13" t="s">
        <v>131</v>
      </c>
      <c r="K20" s="13" t="s">
        <v>728</v>
      </c>
      <c r="L20" s="13" t="s">
        <v>4</v>
      </c>
      <c r="M20" s="13"/>
      <c r="N20" s="13" t="s">
        <v>713</v>
      </c>
      <c r="O20" s="13" t="s">
        <v>744</v>
      </c>
    </row>
    <row r="21" spans="1:15" ht="45.75" customHeight="1" x14ac:dyDescent="0.35">
      <c r="A21" s="13" t="s">
        <v>132</v>
      </c>
      <c r="B21" s="13" t="s">
        <v>9</v>
      </c>
      <c r="C21" s="13" t="s">
        <v>118</v>
      </c>
      <c r="D21" s="13" t="s">
        <v>44</v>
      </c>
      <c r="E21" s="13" t="s">
        <v>133</v>
      </c>
      <c r="F21" s="13" t="s">
        <v>46</v>
      </c>
      <c r="G21" s="13" t="s">
        <v>134</v>
      </c>
      <c r="H21" s="13" t="s">
        <v>135</v>
      </c>
      <c r="I21" s="13" t="s">
        <v>136</v>
      </c>
      <c r="J21" s="13" t="s">
        <v>137</v>
      </c>
      <c r="K21" s="13" t="s">
        <v>725</v>
      </c>
      <c r="L21" s="13" t="s">
        <v>4</v>
      </c>
      <c r="M21" s="13"/>
      <c r="N21" s="13" t="s">
        <v>713</v>
      </c>
      <c r="O21" s="13" t="s">
        <v>745</v>
      </c>
    </row>
    <row r="22" spans="1:15" ht="45.75" customHeight="1" x14ac:dyDescent="0.35">
      <c r="A22" s="13" t="s">
        <v>138</v>
      </c>
      <c r="B22" s="13" t="s">
        <v>9</v>
      </c>
      <c r="C22" s="13" t="s">
        <v>118</v>
      </c>
      <c r="D22" s="13" t="s">
        <v>44</v>
      </c>
      <c r="E22" s="13" t="s">
        <v>139</v>
      </c>
      <c r="F22" s="13" t="s">
        <v>125</v>
      </c>
      <c r="G22" s="13" t="s">
        <v>60</v>
      </c>
      <c r="H22" s="13" t="s">
        <v>140</v>
      </c>
      <c r="I22" s="13" t="s">
        <v>136</v>
      </c>
      <c r="J22" s="13" t="s">
        <v>141</v>
      </c>
      <c r="K22" s="13" t="s">
        <v>730</v>
      </c>
      <c r="L22" s="13" t="s">
        <v>4</v>
      </c>
      <c r="M22" s="13"/>
      <c r="N22" s="13" t="s">
        <v>713</v>
      </c>
      <c r="O22" s="13" t="s">
        <v>746</v>
      </c>
    </row>
    <row r="23" spans="1:15" ht="45.75" customHeight="1" x14ac:dyDescent="0.35">
      <c r="A23" s="13" t="s">
        <v>142</v>
      </c>
      <c r="B23" s="13" t="s">
        <v>9</v>
      </c>
      <c r="C23" s="13" t="s">
        <v>118</v>
      </c>
      <c r="D23" s="13" t="s">
        <v>44</v>
      </c>
      <c r="E23" s="13" t="s">
        <v>143</v>
      </c>
      <c r="F23" s="13" t="s">
        <v>46</v>
      </c>
      <c r="G23" s="13" t="s">
        <v>60</v>
      </c>
      <c r="H23" s="13" t="s">
        <v>144</v>
      </c>
      <c r="I23" s="13" t="s">
        <v>71</v>
      </c>
      <c r="J23" s="13" t="s">
        <v>145</v>
      </c>
      <c r="K23" s="13" t="s">
        <v>726</v>
      </c>
      <c r="L23" s="13" t="s">
        <v>4</v>
      </c>
      <c r="M23" s="13"/>
      <c r="N23" s="13" t="s">
        <v>713</v>
      </c>
      <c r="O23" s="13" t="s">
        <v>747</v>
      </c>
    </row>
    <row r="24" spans="1:15" ht="45.75" customHeight="1" x14ac:dyDescent="0.35">
      <c r="A24" s="13" t="s">
        <v>146</v>
      </c>
      <c r="B24" s="13" t="s">
        <v>9</v>
      </c>
      <c r="C24" s="13" t="s">
        <v>147</v>
      </c>
      <c r="D24" s="13" t="s">
        <v>148</v>
      </c>
      <c r="E24" s="13" t="s">
        <v>149</v>
      </c>
      <c r="F24" s="13" t="s">
        <v>150</v>
      </c>
      <c r="G24" s="13" t="s">
        <v>151</v>
      </c>
      <c r="H24" s="13" t="s">
        <v>152</v>
      </c>
      <c r="I24" s="13" t="s">
        <v>49</v>
      </c>
      <c r="J24" s="13" t="s">
        <v>153</v>
      </c>
      <c r="K24" s="13" t="s">
        <v>727</v>
      </c>
      <c r="L24" s="13" t="s">
        <v>4</v>
      </c>
      <c r="M24" s="13"/>
      <c r="N24" s="13" t="s">
        <v>713</v>
      </c>
      <c r="O24" s="13" t="s">
        <v>748</v>
      </c>
    </row>
    <row r="25" spans="1:15" ht="45.75" customHeight="1" x14ac:dyDescent="0.35">
      <c r="A25" s="13" t="s">
        <v>154</v>
      </c>
      <c r="B25" s="13" t="s">
        <v>9</v>
      </c>
      <c r="C25" s="13" t="s">
        <v>147</v>
      </c>
      <c r="D25" s="13" t="s">
        <v>155</v>
      </c>
      <c r="E25" s="13" t="s">
        <v>156</v>
      </c>
      <c r="F25" s="13" t="s">
        <v>46</v>
      </c>
      <c r="G25" s="13" t="s">
        <v>151</v>
      </c>
      <c r="H25" s="13" t="s">
        <v>121</v>
      </c>
      <c r="I25" s="13" t="s">
        <v>157</v>
      </c>
      <c r="J25" s="13" t="s">
        <v>158</v>
      </c>
      <c r="K25" s="13"/>
      <c r="L25" s="13" t="s">
        <v>4</v>
      </c>
      <c r="M25" s="13"/>
      <c r="N25" s="13" t="s">
        <v>713</v>
      </c>
      <c r="O25" s="13" t="s">
        <v>749</v>
      </c>
    </row>
  </sheetData>
  <autoFilter ref="A4:O25"/>
  <mergeCells count="2">
    <mergeCell ref="A1:O1"/>
    <mergeCell ref="A2:O2"/>
  </mergeCells>
  <conditionalFormatting sqref="L5:L25">
    <cfRule type="cellIs" dxfId="35" priority="2" operator="equal">
      <formula>"Pass"</formula>
    </cfRule>
    <cfRule type="cellIs" dxfId="34" priority="3" operator="equal">
      <formula>"Fail"</formula>
    </cfRule>
    <cfRule type="cellIs" dxfId="33" priority="4" operator="equal">
      <formula>"Blocked"</formula>
    </cfRule>
    <cfRule type="cellIs" dxfId="32" priority="5" operator="equal">
      <formula>"Not Tested"</formula>
    </cfRule>
  </conditionalFormatting>
  <dataValidations count="1">
    <dataValidation type="list" allowBlank="1" sqref="L5:L25">
      <formula1>"Not Tested,Pass,Fail,Blocked"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showGridLines="0" topLeftCell="C1" zoomScale="67" zoomScaleNormal="67" workbookViewId="0">
      <pane ySplit="4" topLeftCell="A7" activePane="bottomLeft" state="frozen"/>
      <selection pane="bottomLeft" activeCell="M7" sqref="M7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30" customWidth="1"/>
    <col min="4" max="4" width="9" customWidth="1"/>
    <col min="5" max="5" width="34" customWidth="1"/>
    <col min="6" max="6" width="14" customWidth="1"/>
    <col min="7" max="7" width="26" customWidth="1"/>
    <col min="8" max="8" width="42" customWidth="1"/>
    <col min="9" max="9" width="13" customWidth="1"/>
    <col min="10" max="10" width="34" customWidth="1"/>
    <col min="11" max="11" width="26" customWidth="1"/>
    <col min="12" max="12" width="11" customWidth="1"/>
    <col min="13" max="13" width="24" customWidth="1"/>
    <col min="14" max="14" width="12" customWidth="1"/>
    <col min="15" max="15" width="13" customWidth="1"/>
  </cols>
  <sheetData>
    <row r="1" spans="1:15" ht="21.75" customHeight="1" x14ac:dyDescent="0.4">
      <c r="A1" s="1" t="s">
        <v>159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35">
      <c r="A2" s="2" t="s">
        <v>160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7.75" customHeight="1" x14ac:dyDescent="0.3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</row>
    <row r="5" spans="1:15" ht="45.75" customHeight="1" x14ac:dyDescent="0.35">
      <c r="A5" s="13" t="s">
        <v>161</v>
      </c>
      <c r="B5" s="13" t="s">
        <v>10</v>
      </c>
      <c r="C5" s="13" t="s">
        <v>162</v>
      </c>
      <c r="D5" s="13" t="s">
        <v>75</v>
      </c>
      <c r="E5" s="13" t="s">
        <v>163</v>
      </c>
      <c r="F5" s="13" t="s">
        <v>46</v>
      </c>
      <c r="G5" s="13" t="s">
        <v>164</v>
      </c>
      <c r="H5" s="13" t="s">
        <v>121</v>
      </c>
      <c r="I5" s="13" t="s">
        <v>49</v>
      </c>
      <c r="J5" s="13" t="s">
        <v>165</v>
      </c>
      <c r="K5" s="13" t="s">
        <v>750</v>
      </c>
      <c r="L5" s="13" t="s">
        <v>4</v>
      </c>
      <c r="M5" s="13"/>
      <c r="N5" s="13" t="s">
        <v>713</v>
      </c>
      <c r="O5" s="13" t="s">
        <v>714</v>
      </c>
    </row>
    <row r="6" spans="1:15" ht="45.75" customHeight="1" x14ac:dyDescent="0.35">
      <c r="A6" s="13" t="s">
        <v>166</v>
      </c>
      <c r="B6" s="13" t="s">
        <v>10</v>
      </c>
      <c r="C6" s="13" t="s">
        <v>162</v>
      </c>
      <c r="D6" s="13" t="s">
        <v>75</v>
      </c>
      <c r="E6" s="13" t="s">
        <v>167</v>
      </c>
      <c r="F6" s="13" t="s">
        <v>53</v>
      </c>
      <c r="G6" s="13" t="s">
        <v>168</v>
      </c>
      <c r="H6" s="13" t="s">
        <v>121</v>
      </c>
      <c r="I6" s="13" t="s">
        <v>49</v>
      </c>
      <c r="J6" s="13" t="s">
        <v>169</v>
      </c>
      <c r="K6" s="13" t="s">
        <v>756</v>
      </c>
      <c r="L6" s="13" t="s">
        <v>4</v>
      </c>
      <c r="M6" s="13"/>
      <c r="N6" s="13"/>
      <c r="O6" s="13"/>
    </row>
    <row r="7" spans="1:15" ht="45.75" customHeight="1" x14ac:dyDescent="0.35">
      <c r="A7" s="13" t="s">
        <v>170</v>
      </c>
      <c r="B7" s="13" t="s">
        <v>10</v>
      </c>
      <c r="C7" s="13" t="s">
        <v>162</v>
      </c>
      <c r="D7" s="13" t="s">
        <v>44</v>
      </c>
      <c r="E7" s="13" t="s">
        <v>171</v>
      </c>
      <c r="F7" s="13" t="s">
        <v>46</v>
      </c>
      <c r="G7" s="13" t="s">
        <v>60</v>
      </c>
      <c r="H7" s="13" t="s">
        <v>172</v>
      </c>
      <c r="I7" s="13" t="s">
        <v>136</v>
      </c>
      <c r="J7" s="13" t="s">
        <v>173</v>
      </c>
      <c r="K7" s="13" t="s">
        <v>751</v>
      </c>
      <c r="L7" s="13" t="s">
        <v>4</v>
      </c>
      <c r="M7" s="13"/>
      <c r="N7" s="13"/>
      <c r="O7" s="13"/>
    </row>
    <row r="8" spans="1:15" ht="45.75" customHeight="1" x14ac:dyDescent="0.35">
      <c r="A8" s="13" t="s">
        <v>174</v>
      </c>
      <c r="B8" s="13" t="s">
        <v>10</v>
      </c>
      <c r="C8" s="13" t="s">
        <v>162</v>
      </c>
      <c r="D8" s="13" t="s">
        <v>44</v>
      </c>
      <c r="E8" s="13" t="s">
        <v>175</v>
      </c>
      <c r="F8" s="13" t="s">
        <v>125</v>
      </c>
      <c r="G8" s="13" t="s">
        <v>60</v>
      </c>
      <c r="H8" s="13" t="s">
        <v>176</v>
      </c>
      <c r="I8" s="13" t="s">
        <v>130</v>
      </c>
      <c r="J8" s="13" t="s">
        <v>177</v>
      </c>
      <c r="K8" s="13" t="s">
        <v>755</v>
      </c>
      <c r="L8" s="13" t="s">
        <v>4</v>
      </c>
      <c r="M8" s="13"/>
      <c r="N8" s="13"/>
      <c r="O8" s="13"/>
    </row>
    <row r="9" spans="1:15" ht="45.75" customHeight="1" x14ac:dyDescent="0.35">
      <c r="A9" s="13" t="s">
        <v>178</v>
      </c>
      <c r="B9" s="13" t="s">
        <v>10</v>
      </c>
      <c r="C9" s="13" t="s">
        <v>162</v>
      </c>
      <c r="D9" s="13" t="s">
        <v>44</v>
      </c>
      <c r="E9" s="13" t="s">
        <v>179</v>
      </c>
      <c r="F9" s="13" t="s">
        <v>46</v>
      </c>
      <c r="G9" s="13" t="s">
        <v>180</v>
      </c>
      <c r="H9" s="13" t="s">
        <v>181</v>
      </c>
      <c r="I9" s="13" t="s">
        <v>71</v>
      </c>
      <c r="J9" s="13" t="s">
        <v>182</v>
      </c>
      <c r="K9" s="13" t="s">
        <v>752</v>
      </c>
      <c r="L9" s="13" t="s">
        <v>4</v>
      </c>
      <c r="M9" s="13"/>
      <c r="N9" s="13"/>
      <c r="O9" s="13"/>
    </row>
    <row r="10" spans="1:15" ht="45.75" customHeight="1" x14ac:dyDescent="0.35">
      <c r="A10" s="13" t="s">
        <v>183</v>
      </c>
      <c r="B10" s="13" t="s">
        <v>10</v>
      </c>
      <c r="C10" s="13" t="s">
        <v>184</v>
      </c>
      <c r="D10" s="13" t="s">
        <v>75</v>
      </c>
      <c r="E10" s="13" t="s">
        <v>185</v>
      </c>
      <c r="F10" s="13" t="s">
        <v>150</v>
      </c>
      <c r="G10" s="13" t="s">
        <v>186</v>
      </c>
      <c r="H10" s="13" t="s">
        <v>121</v>
      </c>
      <c r="I10" s="13" t="s">
        <v>49</v>
      </c>
      <c r="J10" s="13" t="s">
        <v>187</v>
      </c>
      <c r="K10" s="13" t="s">
        <v>753</v>
      </c>
      <c r="L10" s="13" t="s">
        <v>4</v>
      </c>
      <c r="M10" s="13"/>
      <c r="N10" s="13"/>
      <c r="O10" s="13"/>
    </row>
    <row r="11" spans="1:15" ht="45.75" customHeight="1" x14ac:dyDescent="0.35">
      <c r="A11" s="13" t="s">
        <v>188</v>
      </c>
      <c r="B11" s="13" t="s">
        <v>10</v>
      </c>
      <c r="C11" s="13" t="s">
        <v>184</v>
      </c>
      <c r="D11" s="13" t="s">
        <v>148</v>
      </c>
      <c r="E11" s="13" t="s">
        <v>189</v>
      </c>
      <c r="F11" s="13" t="s">
        <v>46</v>
      </c>
      <c r="G11" s="13" t="s">
        <v>186</v>
      </c>
      <c r="H11" s="13" t="s">
        <v>190</v>
      </c>
      <c r="I11" s="13" t="s">
        <v>49</v>
      </c>
      <c r="J11" s="13" t="s">
        <v>191</v>
      </c>
      <c r="K11" s="13" t="s">
        <v>754</v>
      </c>
      <c r="L11" s="13" t="s">
        <v>4</v>
      </c>
      <c r="M11" s="13"/>
      <c r="N11" s="13"/>
      <c r="O11" s="13"/>
    </row>
    <row r="12" spans="1:15" ht="45.75" customHeight="1" x14ac:dyDescent="0.35">
      <c r="A12" s="13" t="s">
        <v>192</v>
      </c>
      <c r="B12" s="13" t="s">
        <v>10</v>
      </c>
      <c r="C12" s="13" t="s">
        <v>184</v>
      </c>
      <c r="D12" s="13" t="s">
        <v>155</v>
      </c>
      <c r="E12" s="13" t="s">
        <v>193</v>
      </c>
      <c r="F12" s="13" t="s">
        <v>46</v>
      </c>
      <c r="G12" s="13" t="s">
        <v>194</v>
      </c>
      <c r="H12" s="13" t="s">
        <v>121</v>
      </c>
      <c r="I12" s="13" t="s">
        <v>195</v>
      </c>
      <c r="J12" s="13" t="s">
        <v>196</v>
      </c>
      <c r="K12" s="13"/>
      <c r="L12" s="13" t="s">
        <v>4</v>
      </c>
      <c r="M12" s="13"/>
      <c r="N12" s="13"/>
      <c r="O12" s="13"/>
    </row>
  </sheetData>
  <autoFilter ref="A4:O12"/>
  <mergeCells count="2">
    <mergeCell ref="A1:O1"/>
    <mergeCell ref="A2:O2"/>
  </mergeCells>
  <conditionalFormatting sqref="L5:L12">
    <cfRule type="cellIs" dxfId="31" priority="2" operator="equal">
      <formula>"Pass"</formula>
    </cfRule>
    <cfRule type="cellIs" dxfId="30" priority="3" operator="equal">
      <formula>"Fail"</formula>
    </cfRule>
    <cfRule type="cellIs" dxfId="29" priority="4" operator="equal">
      <formula>"Blocked"</formula>
    </cfRule>
    <cfRule type="cellIs" dxfId="28" priority="5" operator="equal">
      <formula>"Not Tested"</formula>
    </cfRule>
  </conditionalFormatting>
  <dataValidations count="1">
    <dataValidation type="list" allowBlank="1" sqref="L5:L12">
      <formula1>"Not Tested,Pass,Fail,Blocked"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showGridLines="0" topLeftCell="C1" zoomScale="67" zoomScaleNormal="67" workbookViewId="0">
      <pane ySplit="4" topLeftCell="A20" activePane="bottomLeft" state="frozen"/>
      <selection pane="bottomLeft" activeCell="L17" sqref="L17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30" customWidth="1"/>
    <col min="4" max="4" width="9" customWidth="1"/>
    <col min="5" max="5" width="34" customWidth="1"/>
    <col min="6" max="6" width="14" customWidth="1"/>
    <col min="7" max="7" width="26" customWidth="1"/>
    <col min="8" max="8" width="42" customWidth="1"/>
    <col min="9" max="9" width="13" customWidth="1"/>
    <col min="10" max="10" width="34" customWidth="1"/>
    <col min="11" max="11" width="26" customWidth="1"/>
    <col min="12" max="12" width="11" customWidth="1"/>
    <col min="13" max="13" width="24" customWidth="1"/>
    <col min="14" max="14" width="12" customWidth="1"/>
    <col min="15" max="15" width="13" customWidth="1"/>
  </cols>
  <sheetData>
    <row r="1" spans="1:15" ht="21.75" customHeight="1" x14ac:dyDescent="0.4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35">
      <c r="A2" s="2" t="s">
        <v>198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7.75" customHeight="1" x14ac:dyDescent="0.3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</row>
    <row r="5" spans="1:15" ht="45.75" customHeight="1" x14ac:dyDescent="0.35">
      <c r="A5" s="13" t="s">
        <v>199</v>
      </c>
      <c r="B5" s="13" t="s">
        <v>11</v>
      </c>
      <c r="C5" s="13" t="s">
        <v>200</v>
      </c>
      <c r="D5" s="13" t="s">
        <v>75</v>
      </c>
      <c r="E5" s="13" t="s">
        <v>201</v>
      </c>
      <c r="F5" s="13" t="s">
        <v>77</v>
      </c>
      <c r="G5" s="13" t="s">
        <v>202</v>
      </c>
      <c r="H5" s="13" t="s">
        <v>121</v>
      </c>
      <c r="I5" s="13" t="s">
        <v>49</v>
      </c>
      <c r="J5" s="13" t="s">
        <v>203</v>
      </c>
      <c r="K5" s="13" t="s">
        <v>757</v>
      </c>
      <c r="L5" s="13" t="s">
        <v>4</v>
      </c>
      <c r="M5" s="13"/>
      <c r="N5" s="13"/>
      <c r="O5" s="13"/>
    </row>
    <row r="6" spans="1:15" ht="45.75" customHeight="1" x14ac:dyDescent="0.35">
      <c r="A6" s="13" t="s">
        <v>204</v>
      </c>
      <c r="B6" s="13" t="s">
        <v>11</v>
      </c>
      <c r="C6" s="13" t="s">
        <v>200</v>
      </c>
      <c r="D6" s="13" t="s">
        <v>44</v>
      </c>
      <c r="E6" s="13" t="s">
        <v>205</v>
      </c>
      <c r="F6" s="13" t="s">
        <v>206</v>
      </c>
      <c r="G6" s="13" t="s">
        <v>60</v>
      </c>
      <c r="H6" s="13" t="s">
        <v>207</v>
      </c>
      <c r="I6" s="13" t="s">
        <v>136</v>
      </c>
      <c r="J6" s="13" t="s">
        <v>208</v>
      </c>
      <c r="K6" s="13" t="s">
        <v>758</v>
      </c>
      <c r="L6" s="13" t="s">
        <v>4</v>
      </c>
      <c r="M6" s="13"/>
      <c r="N6" s="13"/>
      <c r="O6" s="13"/>
    </row>
    <row r="7" spans="1:15" ht="45.75" customHeight="1" x14ac:dyDescent="0.35">
      <c r="A7" s="13" t="s">
        <v>209</v>
      </c>
      <c r="B7" s="13" t="s">
        <v>11</v>
      </c>
      <c r="C7" s="13" t="s">
        <v>200</v>
      </c>
      <c r="D7" s="13" t="s">
        <v>44</v>
      </c>
      <c r="E7" s="13" t="s">
        <v>210</v>
      </c>
      <c r="F7" s="13" t="s">
        <v>53</v>
      </c>
      <c r="G7" s="13" t="s">
        <v>60</v>
      </c>
      <c r="H7" s="13" t="s">
        <v>211</v>
      </c>
      <c r="I7" s="13" t="s">
        <v>130</v>
      </c>
      <c r="J7" s="13" t="s">
        <v>212</v>
      </c>
      <c r="K7" s="13" t="s">
        <v>773</v>
      </c>
      <c r="L7" s="13" t="s">
        <v>4</v>
      </c>
      <c r="M7" s="13"/>
      <c r="N7" s="13"/>
      <c r="O7" s="13"/>
    </row>
    <row r="8" spans="1:15" ht="45.75" customHeight="1" x14ac:dyDescent="0.35">
      <c r="A8" s="13" t="s">
        <v>213</v>
      </c>
      <c r="B8" s="13" t="s">
        <v>11</v>
      </c>
      <c r="C8" s="13" t="s">
        <v>214</v>
      </c>
      <c r="D8" s="13" t="s">
        <v>44</v>
      </c>
      <c r="E8" s="13" t="s">
        <v>215</v>
      </c>
      <c r="F8" s="13" t="s">
        <v>206</v>
      </c>
      <c r="G8" s="13" t="s">
        <v>60</v>
      </c>
      <c r="H8" s="13" t="s">
        <v>216</v>
      </c>
      <c r="I8" s="13" t="s">
        <v>136</v>
      </c>
      <c r="J8" s="13" t="s">
        <v>217</v>
      </c>
      <c r="K8" s="13" t="s">
        <v>759</v>
      </c>
      <c r="L8" s="13" t="s">
        <v>4</v>
      </c>
      <c r="M8" s="13"/>
      <c r="N8" s="13"/>
      <c r="O8" s="13"/>
    </row>
    <row r="9" spans="1:15" ht="45.75" customHeight="1" x14ac:dyDescent="0.35">
      <c r="A9" s="13" t="s">
        <v>218</v>
      </c>
      <c r="B9" s="13" t="s">
        <v>11</v>
      </c>
      <c r="C9" s="13" t="s">
        <v>219</v>
      </c>
      <c r="D9" s="13" t="s">
        <v>75</v>
      </c>
      <c r="E9" s="13" t="s">
        <v>220</v>
      </c>
      <c r="F9" s="13" t="s">
        <v>59</v>
      </c>
      <c r="G9" s="13" t="s">
        <v>221</v>
      </c>
      <c r="H9" s="13" t="s">
        <v>222</v>
      </c>
      <c r="I9" s="13" t="s">
        <v>49</v>
      </c>
      <c r="J9" s="13" t="s">
        <v>223</v>
      </c>
      <c r="K9" s="13" t="s">
        <v>760</v>
      </c>
      <c r="L9" s="13" t="s">
        <v>4</v>
      </c>
      <c r="M9" s="13"/>
      <c r="N9" s="13"/>
      <c r="O9" s="13"/>
    </row>
    <row r="10" spans="1:15" ht="45.75" customHeight="1" x14ac:dyDescent="0.35">
      <c r="A10" s="13" t="s">
        <v>224</v>
      </c>
      <c r="B10" s="13" t="s">
        <v>11</v>
      </c>
      <c r="C10" s="13" t="s">
        <v>219</v>
      </c>
      <c r="D10" s="13" t="s">
        <v>75</v>
      </c>
      <c r="E10" s="13" t="s">
        <v>225</v>
      </c>
      <c r="F10" s="13" t="s">
        <v>59</v>
      </c>
      <c r="G10" s="13" t="s">
        <v>226</v>
      </c>
      <c r="H10" s="13" t="s">
        <v>227</v>
      </c>
      <c r="I10" s="13" t="s">
        <v>49</v>
      </c>
      <c r="J10" s="13" t="s">
        <v>228</v>
      </c>
      <c r="K10" s="13" t="s">
        <v>760</v>
      </c>
      <c r="L10" s="13" t="s">
        <v>4</v>
      </c>
      <c r="M10" s="13"/>
      <c r="N10" s="13"/>
      <c r="O10" s="13"/>
    </row>
    <row r="11" spans="1:15" ht="45.75" customHeight="1" x14ac:dyDescent="0.35">
      <c r="A11" s="13" t="s">
        <v>229</v>
      </c>
      <c r="B11" s="13" t="s">
        <v>11</v>
      </c>
      <c r="C11" s="13" t="s">
        <v>219</v>
      </c>
      <c r="D11" s="13" t="s">
        <v>44</v>
      </c>
      <c r="E11" s="13" t="s">
        <v>230</v>
      </c>
      <c r="F11" s="13" t="s">
        <v>206</v>
      </c>
      <c r="G11" s="13" t="s">
        <v>231</v>
      </c>
      <c r="H11" s="13" t="s">
        <v>232</v>
      </c>
      <c r="I11" s="13" t="s">
        <v>136</v>
      </c>
      <c r="J11" s="13" t="s">
        <v>233</v>
      </c>
      <c r="K11" s="13" t="s">
        <v>761</v>
      </c>
      <c r="L11" s="13" t="s">
        <v>4</v>
      </c>
      <c r="M11" s="13"/>
      <c r="N11" s="13"/>
      <c r="O11" s="13"/>
    </row>
    <row r="12" spans="1:15" ht="45.75" customHeight="1" x14ac:dyDescent="0.35">
      <c r="A12" s="13" t="s">
        <v>234</v>
      </c>
      <c r="B12" s="13" t="s">
        <v>11</v>
      </c>
      <c r="C12" s="13" t="s">
        <v>219</v>
      </c>
      <c r="D12" s="13" t="s">
        <v>44</v>
      </c>
      <c r="E12" s="13" t="s">
        <v>235</v>
      </c>
      <c r="F12" s="13" t="s">
        <v>206</v>
      </c>
      <c r="G12" s="13" t="s">
        <v>236</v>
      </c>
      <c r="H12" s="13" t="s">
        <v>237</v>
      </c>
      <c r="I12" s="13" t="s">
        <v>71</v>
      </c>
      <c r="J12" s="13" t="s">
        <v>238</v>
      </c>
      <c r="K12" s="13" t="s">
        <v>762</v>
      </c>
      <c r="L12" s="13" t="s">
        <v>4</v>
      </c>
      <c r="M12" s="13"/>
      <c r="N12" s="13"/>
      <c r="O12" s="13"/>
    </row>
    <row r="13" spans="1:15" ht="45.75" customHeight="1" x14ac:dyDescent="0.35">
      <c r="A13" s="13" t="s">
        <v>239</v>
      </c>
      <c r="B13" s="13" t="s">
        <v>11</v>
      </c>
      <c r="C13" s="13" t="s">
        <v>240</v>
      </c>
      <c r="D13" s="13" t="s">
        <v>75</v>
      </c>
      <c r="E13" s="13" t="s">
        <v>241</v>
      </c>
      <c r="F13" s="13" t="s">
        <v>59</v>
      </c>
      <c r="G13" s="13" t="s">
        <v>242</v>
      </c>
      <c r="H13" s="13" t="s">
        <v>243</v>
      </c>
      <c r="I13" s="13" t="s">
        <v>49</v>
      </c>
      <c r="J13" s="13" t="s">
        <v>244</v>
      </c>
      <c r="K13" s="13" t="s">
        <v>763</v>
      </c>
      <c r="L13" s="13" t="s">
        <v>4</v>
      </c>
      <c r="M13" s="13"/>
      <c r="N13" s="13"/>
      <c r="O13" s="13"/>
    </row>
    <row r="14" spans="1:15" ht="45.75" customHeight="1" x14ac:dyDescent="0.35">
      <c r="A14" s="13" t="s">
        <v>245</v>
      </c>
      <c r="B14" s="13" t="s">
        <v>11</v>
      </c>
      <c r="C14" s="13" t="s">
        <v>246</v>
      </c>
      <c r="D14" s="13" t="s">
        <v>75</v>
      </c>
      <c r="E14" s="13" t="s">
        <v>247</v>
      </c>
      <c r="F14" s="13" t="s">
        <v>248</v>
      </c>
      <c r="G14" s="13" t="s">
        <v>249</v>
      </c>
      <c r="H14" s="13" t="s">
        <v>243</v>
      </c>
      <c r="I14" s="13" t="s">
        <v>49</v>
      </c>
      <c r="J14" s="13" t="s">
        <v>250</v>
      </c>
      <c r="K14" s="13" t="s">
        <v>764</v>
      </c>
      <c r="L14" s="13" t="s">
        <v>4</v>
      </c>
      <c r="M14" s="13"/>
      <c r="N14" s="13"/>
      <c r="O14" s="13"/>
    </row>
    <row r="15" spans="1:15" ht="45.75" customHeight="1" x14ac:dyDescent="0.35">
      <c r="A15" s="13" t="s">
        <v>251</v>
      </c>
      <c r="B15" s="13" t="s">
        <v>11</v>
      </c>
      <c r="C15" s="13" t="s">
        <v>252</v>
      </c>
      <c r="D15" s="13" t="s">
        <v>75</v>
      </c>
      <c r="E15" s="13" t="s">
        <v>253</v>
      </c>
      <c r="F15" s="13" t="s">
        <v>59</v>
      </c>
      <c r="G15" s="13" t="s">
        <v>254</v>
      </c>
      <c r="H15" s="13" t="s">
        <v>255</v>
      </c>
      <c r="I15" s="13" t="s">
        <v>49</v>
      </c>
      <c r="J15" s="13" t="s">
        <v>256</v>
      </c>
      <c r="K15" s="13" t="s">
        <v>765</v>
      </c>
      <c r="L15" s="13" t="s">
        <v>4</v>
      </c>
      <c r="M15" s="13"/>
      <c r="N15" s="13"/>
      <c r="O15" s="13"/>
    </row>
    <row r="16" spans="1:15" ht="45.75" customHeight="1" x14ac:dyDescent="0.35">
      <c r="A16" s="13" t="s">
        <v>257</v>
      </c>
      <c r="B16" s="13" t="s">
        <v>11</v>
      </c>
      <c r="C16" s="13" t="s">
        <v>252</v>
      </c>
      <c r="D16" s="13" t="s">
        <v>44</v>
      </c>
      <c r="E16" s="13" t="s">
        <v>258</v>
      </c>
      <c r="F16" s="13" t="s">
        <v>206</v>
      </c>
      <c r="G16" s="13" t="s">
        <v>259</v>
      </c>
      <c r="H16" s="13" t="s">
        <v>260</v>
      </c>
      <c r="I16" s="13" t="s">
        <v>136</v>
      </c>
      <c r="J16" s="13" t="s">
        <v>261</v>
      </c>
      <c r="K16" s="13" t="s">
        <v>766</v>
      </c>
      <c r="L16" s="13" t="s">
        <v>4</v>
      </c>
      <c r="M16" s="13"/>
      <c r="N16" s="13"/>
      <c r="O16" s="13"/>
    </row>
    <row r="17" spans="1:15" ht="45.75" customHeight="1" x14ac:dyDescent="0.35">
      <c r="A17" s="13" t="s">
        <v>262</v>
      </c>
      <c r="B17" s="13" t="s">
        <v>11</v>
      </c>
      <c r="C17" s="13" t="s">
        <v>252</v>
      </c>
      <c r="D17" s="13" t="s">
        <v>44</v>
      </c>
      <c r="E17" s="13" t="s">
        <v>263</v>
      </c>
      <c r="F17" s="13" t="s">
        <v>53</v>
      </c>
      <c r="G17" s="13" t="s">
        <v>60</v>
      </c>
      <c r="H17" s="13" t="s">
        <v>264</v>
      </c>
      <c r="I17" s="13" t="s">
        <v>130</v>
      </c>
      <c r="J17" s="13" t="s">
        <v>265</v>
      </c>
      <c r="K17" s="13" t="s">
        <v>773</v>
      </c>
      <c r="L17" s="13" t="s">
        <v>4</v>
      </c>
      <c r="M17" s="13"/>
      <c r="N17" s="13"/>
      <c r="O17" s="13"/>
    </row>
    <row r="18" spans="1:15" ht="45.75" customHeight="1" x14ac:dyDescent="0.35">
      <c r="A18" s="13" t="s">
        <v>266</v>
      </c>
      <c r="B18" s="13" t="s">
        <v>11</v>
      </c>
      <c r="C18" s="13" t="s">
        <v>267</v>
      </c>
      <c r="D18" s="13" t="s">
        <v>75</v>
      </c>
      <c r="E18" s="13" t="s">
        <v>268</v>
      </c>
      <c r="F18" s="13" t="s">
        <v>248</v>
      </c>
      <c r="G18" s="13" t="s">
        <v>269</v>
      </c>
      <c r="H18" s="13" t="s">
        <v>270</v>
      </c>
      <c r="I18" s="13" t="s">
        <v>49</v>
      </c>
      <c r="J18" s="13" t="s">
        <v>271</v>
      </c>
      <c r="K18" s="13" t="s">
        <v>767</v>
      </c>
      <c r="L18" s="13" t="s">
        <v>4</v>
      </c>
      <c r="M18" s="13"/>
      <c r="N18" s="13"/>
      <c r="O18" s="13"/>
    </row>
    <row r="19" spans="1:15" ht="45.75" customHeight="1" x14ac:dyDescent="0.35">
      <c r="A19" s="13" t="s">
        <v>272</v>
      </c>
      <c r="B19" s="13" t="s">
        <v>11</v>
      </c>
      <c r="C19" s="13" t="s">
        <v>273</v>
      </c>
      <c r="D19" s="13" t="s">
        <v>44</v>
      </c>
      <c r="E19" s="13" t="s">
        <v>274</v>
      </c>
      <c r="F19" s="13" t="s">
        <v>206</v>
      </c>
      <c r="G19" s="13" t="s">
        <v>275</v>
      </c>
      <c r="H19" s="13" t="s">
        <v>276</v>
      </c>
      <c r="I19" s="13" t="s">
        <v>49</v>
      </c>
      <c r="J19" s="13" t="s">
        <v>277</v>
      </c>
      <c r="K19" s="13" t="s">
        <v>768</v>
      </c>
      <c r="L19" s="13" t="s">
        <v>4</v>
      </c>
      <c r="M19" s="13"/>
      <c r="N19" s="13"/>
      <c r="O19" s="13"/>
    </row>
    <row r="20" spans="1:15" ht="45.75" customHeight="1" x14ac:dyDescent="0.35">
      <c r="A20" s="13" t="s">
        <v>278</v>
      </c>
      <c r="B20" s="13" t="s">
        <v>11</v>
      </c>
      <c r="C20" s="13" t="s">
        <v>273</v>
      </c>
      <c r="D20" s="13" t="s">
        <v>44</v>
      </c>
      <c r="E20" s="13" t="s">
        <v>279</v>
      </c>
      <c r="F20" s="13" t="s">
        <v>206</v>
      </c>
      <c r="G20" s="13" t="s">
        <v>280</v>
      </c>
      <c r="H20" s="13" t="s">
        <v>281</v>
      </c>
      <c r="I20" s="13" t="s">
        <v>71</v>
      </c>
      <c r="J20" s="13" t="s">
        <v>282</v>
      </c>
      <c r="K20" s="13" t="s">
        <v>769</v>
      </c>
      <c r="L20" s="13" t="s">
        <v>4</v>
      </c>
      <c r="M20" s="13"/>
      <c r="N20" s="13"/>
      <c r="O20" s="13"/>
    </row>
    <row r="21" spans="1:15" ht="45.75" customHeight="1" x14ac:dyDescent="0.35">
      <c r="A21" s="13" t="s">
        <v>283</v>
      </c>
      <c r="B21" s="13" t="s">
        <v>11</v>
      </c>
      <c r="C21" s="13" t="s">
        <v>284</v>
      </c>
      <c r="D21" s="13" t="s">
        <v>44</v>
      </c>
      <c r="E21" s="13" t="s">
        <v>285</v>
      </c>
      <c r="F21" s="13" t="s">
        <v>150</v>
      </c>
      <c r="G21" s="13" t="s">
        <v>286</v>
      </c>
      <c r="H21" s="13" t="s">
        <v>287</v>
      </c>
      <c r="I21" s="13" t="s">
        <v>49</v>
      </c>
      <c r="J21" s="13" t="s">
        <v>288</v>
      </c>
      <c r="K21" s="13" t="s">
        <v>770</v>
      </c>
      <c r="L21" s="13" t="s">
        <v>4</v>
      </c>
      <c r="M21" s="13"/>
      <c r="N21" s="13"/>
      <c r="O21" s="13"/>
    </row>
    <row r="22" spans="1:15" ht="45.75" customHeight="1" x14ac:dyDescent="0.35">
      <c r="A22" s="13" t="s">
        <v>289</v>
      </c>
      <c r="B22" s="13" t="s">
        <v>11</v>
      </c>
      <c r="C22" s="13" t="s">
        <v>284</v>
      </c>
      <c r="D22" s="13" t="s">
        <v>44</v>
      </c>
      <c r="E22" s="13" t="s">
        <v>290</v>
      </c>
      <c r="F22" s="13" t="s">
        <v>46</v>
      </c>
      <c r="G22" s="13" t="s">
        <v>291</v>
      </c>
      <c r="H22" s="13" t="s">
        <v>292</v>
      </c>
      <c r="I22" s="13" t="s">
        <v>71</v>
      </c>
      <c r="J22" s="13" t="s">
        <v>293</v>
      </c>
      <c r="K22" s="13" t="s">
        <v>771</v>
      </c>
      <c r="L22" s="13" t="s">
        <v>4</v>
      </c>
      <c r="M22" s="13"/>
      <c r="N22" s="13"/>
      <c r="O22" s="13"/>
    </row>
    <row r="23" spans="1:15" ht="45.75" customHeight="1" x14ac:dyDescent="0.35">
      <c r="A23" s="13" t="s">
        <v>294</v>
      </c>
      <c r="B23" s="13" t="s">
        <v>11</v>
      </c>
      <c r="C23" s="13" t="s">
        <v>295</v>
      </c>
      <c r="D23" s="13" t="s">
        <v>75</v>
      </c>
      <c r="E23" s="13" t="s">
        <v>296</v>
      </c>
      <c r="F23" s="13" t="s">
        <v>59</v>
      </c>
      <c r="G23" s="13" t="s">
        <v>297</v>
      </c>
      <c r="H23" s="13" t="s">
        <v>298</v>
      </c>
      <c r="I23" s="13" t="s">
        <v>49</v>
      </c>
      <c r="J23" s="13" t="s">
        <v>299</v>
      </c>
      <c r="K23" s="13" t="s">
        <v>772</v>
      </c>
      <c r="L23" s="13" t="s">
        <v>4</v>
      </c>
      <c r="M23" s="13"/>
      <c r="N23" s="13"/>
      <c r="O23" s="13"/>
    </row>
  </sheetData>
  <autoFilter ref="A4:O23"/>
  <mergeCells count="2">
    <mergeCell ref="A1:O1"/>
    <mergeCell ref="A2:O2"/>
  </mergeCells>
  <conditionalFormatting sqref="L5:L23">
    <cfRule type="cellIs" dxfId="27" priority="2" operator="equal">
      <formula>"Pass"</formula>
    </cfRule>
    <cfRule type="cellIs" dxfId="26" priority="3" operator="equal">
      <formula>"Fail"</formula>
    </cfRule>
    <cfRule type="cellIs" dxfId="25" priority="4" operator="equal">
      <formula>"Blocked"</formula>
    </cfRule>
    <cfRule type="cellIs" dxfId="24" priority="5" operator="equal">
      <formula>"Not Tested"</formula>
    </cfRule>
  </conditionalFormatting>
  <dataValidations count="1">
    <dataValidation type="list" allowBlank="1" sqref="L5:L23">
      <formula1>"Not Tested,Pass,Fail,Blocked"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showGridLines="0" topLeftCell="C1" zoomScale="67" zoomScaleNormal="67" workbookViewId="0">
      <pane ySplit="4" topLeftCell="A12" activePane="bottomLeft" state="frozen"/>
      <selection pane="bottomLeft" activeCell="H15" sqref="H15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30" customWidth="1"/>
    <col min="4" max="4" width="9" customWidth="1"/>
    <col min="5" max="5" width="34" customWidth="1"/>
    <col min="6" max="6" width="14" customWidth="1"/>
    <col min="7" max="7" width="26" customWidth="1"/>
    <col min="8" max="8" width="42" customWidth="1"/>
    <col min="9" max="9" width="13" customWidth="1"/>
    <col min="10" max="10" width="34" customWidth="1"/>
    <col min="11" max="11" width="26" customWidth="1"/>
    <col min="12" max="12" width="11" customWidth="1"/>
    <col min="13" max="13" width="24" customWidth="1"/>
    <col min="14" max="14" width="12" customWidth="1"/>
    <col min="15" max="15" width="13" customWidth="1"/>
  </cols>
  <sheetData>
    <row r="1" spans="1:15" ht="21.75" customHeight="1" x14ac:dyDescent="0.4">
      <c r="A1" s="1" t="s">
        <v>774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35">
      <c r="A2" s="2" t="s">
        <v>300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7.75" customHeight="1" x14ac:dyDescent="0.3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</row>
    <row r="5" spans="1:15" ht="45.75" customHeight="1" x14ac:dyDescent="0.35">
      <c r="A5" s="13" t="s">
        <v>301</v>
      </c>
      <c r="B5" s="13" t="s">
        <v>12</v>
      </c>
      <c r="C5" s="13" t="s">
        <v>302</v>
      </c>
      <c r="D5" s="13" t="s">
        <v>75</v>
      </c>
      <c r="E5" s="13" t="s">
        <v>303</v>
      </c>
      <c r="F5" s="13" t="s">
        <v>59</v>
      </c>
      <c r="G5" s="13" t="s">
        <v>304</v>
      </c>
      <c r="H5" s="13" t="s">
        <v>305</v>
      </c>
      <c r="I5" s="13" t="s">
        <v>49</v>
      </c>
      <c r="J5" s="13" t="s">
        <v>306</v>
      </c>
      <c r="K5" s="13" t="s">
        <v>775</v>
      </c>
      <c r="L5" s="13" t="s">
        <v>4</v>
      </c>
      <c r="M5" s="13"/>
      <c r="N5" s="13"/>
      <c r="O5" s="13"/>
    </row>
    <row r="6" spans="1:15" ht="45.75" customHeight="1" x14ac:dyDescent="0.35">
      <c r="A6" s="13" t="s">
        <v>307</v>
      </c>
      <c r="B6" s="13" t="s">
        <v>12</v>
      </c>
      <c r="C6" s="13" t="s">
        <v>302</v>
      </c>
      <c r="D6" s="13" t="s">
        <v>44</v>
      </c>
      <c r="E6" s="13" t="s">
        <v>308</v>
      </c>
      <c r="F6" s="13" t="s">
        <v>150</v>
      </c>
      <c r="G6" s="13" t="s">
        <v>60</v>
      </c>
      <c r="H6" s="13" t="s">
        <v>309</v>
      </c>
      <c r="I6" s="13" t="s">
        <v>136</v>
      </c>
      <c r="J6" s="13" t="s">
        <v>310</v>
      </c>
      <c r="K6" s="13" t="s">
        <v>776</v>
      </c>
      <c r="L6" s="13" t="s">
        <v>4</v>
      </c>
      <c r="M6" s="13"/>
      <c r="N6" s="13"/>
      <c r="O6" s="13"/>
    </row>
    <row r="7" spans="1:15" ht="45.75" customHeight="1" x14ac:dyDescent="0.35">
      <c r="A7" s="13" t="s">
        <v>311</v>
      </c>
      <c r="B7" s="13" t="s">
        <v>12</v>
      </c>
      <c r="C7" s="13" t="s">
        <v>302</v>
      </c>
      <c r="D7" s="13" t="s">
        <v>44</v>
      </c>
      <c r="E7" s="13" t="s">
        <v>312</v>
      </c>
      <c r="F7" s="13" t="s">
        <v>53</v>
      </c>
      <c r="G7" s="13" t="s">
        <v>60</v>
      </c>
      <c r="H7" s="13" t="s">
        <v>211</v>
      </c>
      <c r="I7" s="13" t="s">
        <v>130</v>
      </c>
      <c r="J7" s="13" t="s">
        <v>265</v>
      </c>
      <c r="K7" s="13" t="s">
        <v>728</v>
      </c>
      <c r="L7" s="13" t="s">
        <v>4</v>
      </c>
      <c r="M7" s="13"/>
      <c r="N7" s="13"/>
      <c r="O7" s="13"/>
    </row>
    <row r="8" spans="1:15" ht="45.75" customHeight="1" x14ac:dyDescent="0.35">
      <c r="A8" s="13" t="s">
        <v>313</v>
      </c>
      <c r="B8" s="13" t="s">
        <v>12</v>
      </c>
      <c r="C8" s="13" t="s">
        <v>314</v>
      </c>
      <c r="D8" s="13" t="s">
        <v>44</v>
      </c>
      <c r="E8" s="13" t="s">
        <v>315</v>
      </c>
      <c r="F8" s="13" t="s">
        <v>125</v>
      </c>
      <c r="G8" s="13" t="s">
        <v>316</v>
      </c>
      <c r="H8" s="13" t="s">
        <v>317</v>
      </c>
      <c r="I8" s="13" t="s">
        <v>136</v>
      </c>
      <c r="J8" s="13" t="s">
        <v>318</v>
      </c>
      <c r="K8" s="13" t="s">
        <v>777</v>
      </c>
      <c r="L8" s="13" t="s">
        <v>5</v>
      </c>
      <c r="M8" s="13"/>
      <c r="N8" s="13"/>
      <c r="O8" s="13"/>
    </row>
    <row r="9" spans="1:15" ht="45.75" customHeight="1" x14ac:dyDescent="0.35">
      <c r="A9" s="13" t="s">
        <v>319</v>
      </c>
      <c r="B9" s="13" t="s">
        <v>12</v>
      </c>
      <c r="C9" s="13" t="s">
        <v>314</v>
      </c>
      <c r="D9" s="13" t="s">
        <v>44</v>
      </c>
      <c r="E9" s="13" t="s">
        <v>320</v>
      </c>
      <c r="F9" s="13" t="s">
        <v>46</v>
      </c>
      <c r="G9" s="13" t="s">
        <v>60</v>
      </c>
      <c r="H9" s="13" t="s">
        <v>321</v>
      </c>
      <c r="I9" s="13" t="s">
        <v>71</v>
      </c>
      <c r="J9" s="13" t="s">
        <v>322</v>
      </c>
      <c r="K9" s="13" t="s">
        <v>777</v>
      </c>
      <c r="L9" s="13" t="s">
        <v>4</v>
      </c>
      <c r="M9" s="13"/>
      <c r="N9" s="13"/>
      <c r="O9" s="13"/>
    </row>
    <row r="10" spans="1:15" ht="45.75" customHeight="1" x14ac:dyDescent="0.35">
      <c r="A10" s="13" t="s">
        <v>323</v>
      </c>
      <c r="B10" s="13" t="s">
        <v>12</v>
      </c>
      <c r="C10" s="13" t="s">
        <v>314</v>
      </c>
      <c r="D10" s="13" t="s">
        <v>44</v>
      </c>
      <c r="E10" s="13" t="s">
        <v>324</v>
      </c>
      <c r="F10" s="13" t="s">
        <v>46</v>
      </c>
      <c r="G10" s="13" t="s">
        <v>325</v>
      </c>
      <c r="H10" s="13" t="s">
        <v>326</v>
      </c>
      <c r="I10" s="13" t="s">
        <v>136</v>
      </c>
      <c r="J10" s="13" t="s">
        <v>327</v>
      </c>
      <c r="K10" s="13" t="s">
        <v>778</v>
      </c>
      <c r="L10" s="13" t="s">
        <v>4</v>
      </c>
      <c r="M10" s="13"/>
      <c r="N10" s="13"/>
      <c r="O10" s="13"/>
    </row>
    <row r="11" spans="1:15" ht="45.75" customHeight="1" x14ac:dyDescent="0.35">
      <c r="A11" s="13" t="s">
        <v>328</v>
      </c>
      <c r="B11" s="13" t="s">
        <v>12</v>
      </c>
      <c r="C11" s="13" t="s">
        <v>314</v>
      </c>
      <c r="D11" s="13" t="s">
        <v>75</v>
      </c>
      <c r="E11" s="13" t="s">
        <v>329</v>
      </c>
      <c r="F11" s="13" t="s">
        <v>150</v>
      </c>
      <c r="G11" s="13" t="s">
        <v>330</v>
      </c>
      <c r="H11" s="13" t="s">
        <v>331</v>
      </c>
      <c r="I11" s="13" t="s">
        <v>49</v>
      </c>
      <c r="J11" s="13" t="s">
        <v>332</v>
      </c>
      <c r="K11" s="13" t="s">
        <v>779</v>
      </c>
      <c r="L11" s="13" t="s">
        <v>4</v>
      </c>
      <c r="M11" s="13"/>
      <c r="N11" s="13"/>
      <c r="O11" s="13"/>
    </row>
    <row r="12" spans="1:15" ht="45.75" customHeight="1" x14ac:dyDescent="0.35">
      <c r="A12" s="13" t="s">
        <v>333</v>
      </c>
      <c r="B12" s="13" t="s">
        <v>12</v>
      </c>
      <c r="C12" s="13" t="s">
        <v>334</v>
      </c>
      <c r="D12" s="13" t="s">
        <v>44</v>
      </c>
      <c r="E12" s="13" t="s">
        <v>335</v>
      </c>
      <c r="F12" s="13" t="s">
        <v>150</v>
      </c>
      <c r="G12" s="13" t="s">
        <v>336</v>
      </c>
      <c r="H12" s="13" t="s">
        <v>337</v>
      </c>
      <c r="I12" s="13" t="s">
        <v>49</v>
      </c>
      <c r="J12" s="13" t="s">
        <v>338</v>
      </c>
      <c r="K12" s="13" t="s">
        <v>780</v>
      </c>
      <c r="L12" s="13" t="s">
        <v>4</v>
      </c>
      <c r="M12" s="13"/>
      <c r="N12" s="13"/>
      <c r="O12" s="13"/>
    </row>
    <row r="13" spans="1:15" ht="45.75" customHeight="1" x14ac:dyDescent="0.35">
      <c r="A13" s="13" t="s">
        <v>339</v>
      </c>
      <c r="B13" s="13" t="s">
        <v>12</v>
      </c>
      <c r="C13" s="13" t="s">
        <v>334</v>
      </c>
      <c r="D13" s="13" t="s">
        <v>44</v>
      </c>
      <c r="E13" s="13" t="s">
        <v>340</v>
      </c>
      <c r="F13" s="13" t="s">
        <v>150</v>
      </c>
      <c r="G13" s="13" t="s">
        <v>341</v>
      </c>
      <c r="H13" s="13" t="s">
        <v>342</v>
      </c>
      <c r="I13" s="13" t="s">
        <v>49</v>
      </c>
      <c r="J13" s="13" t="s">
        <v>343</v>
      </c>
      <c r="K13" s="13" t="s">
        <v>780</v>
      </c>
      <c r="L13" s="13" t="s">
        <v>4</v>
      </c>
      <c r="M13" s="13"/>
      <c r="N13" s="13"/>
      <c r="O13" s="13"/>
    </row>
    <row r="14" spans="1:15" ht="45.75" customHeight="1" x14ac:dyDescent="0.35">
      <c r="A14" s="13" t="s">
        <v>344</v>
      </c>
      <c r="B14" s="13" t="s">
        <v>12</v>
      </c>
      <c r="C14" s="13" t="s">
        <v>334</v>
      </c>
      <c r="D14" s="13" t="s">
        <v>44</v>
      </c>
      <c r="E14" s="13" t="s">
        <v>345</v>
      </c>
      <c r="F14" s="13" t="s">
        <v>150</v>
      </c>
      <c r="G14" s="13" t="s">
        <v>346</v>
      </c>
      <c r="H14" s="13" t="s">
        <v>347</v>
      </c>
      <c r="I14" s="13" t="s">
        <v>49</v>
      </c>
      <c r="J14" s="13" t="s">
        <v>348</v>
      </c>
      <c r="K14" s="13" t="s">
        <v>780</v>
      </c>
      <c r="L14" s="13" t="s">
        <v>4</v>
      </c>
      <c r="M14" s="13"/>
      <c r="N14" s="13"/>
      <c r="O14" s="13"/>
    </row>
    <row r="15" spans="1:15" ht="45.75" customHeight="1" x14ac:dyDescent="0.35">
      <c r="A15" s="13" t="s">
        <v>349</v>
      </c>
      <c r="B15" s="13" t="s">
        <v>12</v>
      </c>
      <c r="C15" s="13" t="s">
        <v>350</v>
      </c>
      <c r="D15" s="13" t="s">
        <v>44</v>
      </c>
      <c r="E15" s="13" t="s">
        <v>351</v>
      </c>
      <c r="F15" s="13" t="s">
        <v>125</v>
      </c>
      <c r="G15" s="13" t="s">
        <v>352</v>
      </c>
      <c r="H15" s="13" t="s">
        <v>353</v>
      </c>
      <c r="I15" s="13" t="s">
        <v>136</v>
      </c>
      <c r="J15" s="13" t="s">
        <v>354</v>
      </c>
      <c r="K15" s="13" t="s">
        <v>781</v>
      </c>
      <c r="L15" s="13" t="s">
        <v>5</v>
      </c>
      <c r="M15" s="13"/>
      <c r="N15" s="13"/>
      <c r="O15" s="13"/>
    </row>
    <row r="16" spans="1:15" ht="45.75" customHeight="1" x14ac:dyDescent="0.35">
      <c r="A16" s="13" t="s">
        <v>355</v>
      </c>
      <c r="B16" s="13" t="s">
        <v>12</v>
      </c>
      <c r="C16" s="13" t="s">
        <v>350</v>
      </c>
      <c r="D16" s="13" t="s">
        <v>44</v>
      </c>
      <c r="E16" s="13" t="s">
        <v>356</v>
      </c>
      <c r="F16" s="13" t="s">
        <v>46</v>
      </c>
      <c r="G16" s="13" t="s">
        <v>60</v>
      </c>
      <c r="H16" s="13" t="s">
        <v>357</v>
      </c>
      <c r="I16" s="13" t="s">
        <v>71</v>
      </c>
      <c r="J16" s="13" t="s">
        <v>358</v>
      </c>
      <c r="K16" s="13" t="s">
        <v>777</v>
      </c>
      <c r="L16" s="13" t="s">
        <v>4</v>
      </c>
      <c r="M16" s="13"/>
      <c r="N16" s="13"/>
      <c r="O16" s="13"/>
    </row>
    <row r="17" spans="1:15" ht="45.75" customHeight="1" x14ac:dyDescent="0.35">
      <c r="A17" s="13" t="s">
        <v>359</v>
      </c>
      <c r="B17" s="13" t="s">
        <v>12</v>
      </c>
      <c r="C17" s="13" t="s">
        <v>350</v>
      </c>
      <c r="D17" s="13" t="s">
        <v>75</v>
      </c>
      <c r="E17" s="13" t="s">
        <v>360</v>
      </c>
      <c r="F17" s="13" t="s">
        <v>361</v>
      </c>
      <c r="G17" s="13" t="s">
        <v>362</v>
      </c>
      <c r="H17" s="13" t="s">
        <v>363</v>
      </c>
      <c r="I17" s="13" t="s">
        <v>49</v>
      </c>
      <c r="J17" s="13" t="s">
        <v>364</v>
      </c>
      <c r="K17" s="13" t="s">
        <v>767</v>
      </c>
      <c r="L17" s="13" t="s">
        <v>4</v>
      </c>
      <c r="M17" s="13"/>
      <c r="N17" s="13"/>
      <c r="O17" s="13"/>
    </row>
    <row r="18" spans="1:15" ht="45.75" customHeight="1" x14ac:dyDescent="0.35">
      <c r="A18" s="13" t="s">
        <v>365</v>
      </c>
      <c r="B18" s="13" t="s">
        <v>12</v>
      </c>
      <c r="C18" s="13" t="s">
        <v>350</v>
      </c>
      <c r="D18" s="13" t="s">
        <v>44</v>
      </c>
      <c r="E18" s="13" t="s">
        <v>366</v>
      </c>
      <c r="F18" s="13" t="s">
        <v>53</v>
      </c>
      <c r="G18" s="13" t="s">
        <v>60</v>
      </c>
      <c r="H18" s="13" t="s">
        <v>367</v>
      </c>
      <c r="I18" s="13" t="s">
        <v>130</v>
      </c>
      <c r="J18" s="13" t="s">
        <v>368</v>
      </c>
      <c r="K18" s="13" t="s">
        <v>781</v>
      </c>
      <c r="L18" s="13" t="s">
        <v>4</v>
      </c>
      <c r="M18" s="13"/>
      <c r="N18" s="13"/>
      <c r="O18" s="13"/>
    </row>
  </sheetData>
  <autoFilter ref="A4:O18"/>
  <mergeCells count="2">
    <mergeCell ref="A1:O1"/>
    <mergeCell ref="A2:O2"/>
  </mergeCells>
  <conditionalFormatting sqref="L5:L18">
    <cfRule type="cellIs" dxfId="23" priority="2" operator="equal">
      <formula>"Pass"</formula>
    </cfRule>
    <cfRule type="cellIs" dxfId="22" priority="3" operator="equal">
      <formula>"Fail"</formula>
    </cfRule>
    <cfRule type="cellIs" dxfId="21" priority="4" operator="equal">
      <formula>"Blocked"</formula>
    </cfRule>
    <cfRule type="cellIs" dxfId="20" priority="5" operator="equal">
      <formula>"Not Tested"</formula>
    </cfRule>
  </conditionalFormatting>
  <dataValidations count="1">
    <dataValidation type="list" allowBlank="1" sqref="L5:L18">
      <formula1>"Not Tested,Pass,Fail,Blocked"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showGridLines="0" topLeftCell="C1" zoomScale="67" zoomScaleNormal="67" workbookViewId="0">
      <pane ySplit="4" topLeftCell="A12" activePane="bottomLeft" state="frozen"/>
      <selection pane="bottomLeft" activeCell="H13" sqref="H13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30" customWidth="1"/>
    <col min="4" max="4" width="9" customWidth="1"/>
    <col min="5" max="5" width="34" customWidth="1"/>
    <col min="6" max="6" width="14" customWidth="1"/>
    <col min="7" max="7" width="26" customWidth="1"/>
    <col min="8" max="8" width="42" customWidth="1"/>
    <col min="9" max="9" width="13" customWidth="1"/>
    <col min="10" max="10" width="34" customWidth="1"/>
    <col min="11" max="11" width="26" customWidth="1"/>
    <col min="12" max="12" width="11" customWidth="1"/>
    <col min="13" max="13" width="24" customWidth="1"/>
    <col min="14" max="14" width="12" customWidth="1"/>
    <col min="15" max="15" width="13" customWidth="1"/>
  </cols>
  <sheetData>
    <row r="1" spans="1:15" ht="21.75" customHeight="1" x14ac:dyDescent="0.4">
      <c r="A1" s="1" t="s">
        <v>369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35">
      <c r="A2" s="2" t="s">
        <v>370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7.75" customHeight="1" x14ac:dyDescent="0.3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</row>
    <row r="5" spans="1:15" ht="45.75" customHeight="1" x14ac:dyDescent="0.35">
      <c r="A5" s="13" t="s">
        <v>371</v>
      </c>
      <c r="B5" s="13" t="s">
        <v>13</v>
      </c>
      <c r="C5" s="13" t="s">
        <v>372</v>
      </c>
      <c r="D5" s="13" t="s">
        <v>44</v>
      </c>
      <c r="E5" s="13" t="s">
        <v>373</v>
      </c>
      <c r="F5" s="13" t="s">
        <v>53</v>
      </c>
      <c r="G5" s="13" t="s">
        <v>374</v>
      </c>
      <c r="H5" s="13" t="s">
        <v>375</v>
      </c>
      <c r="I5" s="13" t="s">
        <v>136</v>
      </c>
      <c r="J5" s="13" t="s">
        <v>376</v>
      </c>
      <c r="K5" s="13" t="s">
        <v>782</v>
      </c>
      <c r="L5" s="13" t="s">
        <v>4</v>
      </c>
      <c r="M5" s="13"/>
      <c r="N5" s="13"/>
      <c r="O5" s="13"/>
    </row>
    <row r="6" spans="1:15" ht="45.75" customHeight="1" x14ac:dyDescent="0.35">
      <c r="A6" s="13" t="s">
        <v>377</v>
      </c>
      <c r="B6" s="13" t="s">
        <v>13</v>
      </c>
      <c r="C6" s="13" t="s">
        <v>372</v>
      </c>
      <c r="D6" s="13" t="s">
        <v>44</v>
      </c>
      <c r="E6" s="13" t="s">
        <v>378</v>
      </c>
      <c r="F6" s="13" t="s">
        <v>46</v>
      </c>
      <c r="G6" s="13" t="s">
        <v>379</v>
      </c>
      <c r="H6" s="13" t="s">
        <v>380</v>
      </c>
      <c r="I6" s="13" t="s">
        <v>136</v>
      </c>
      <c r="J6" s="13" t="s">
        <v>381</v>
      </c>
      <c r="K6" s="13" t="s">
        <v>794</v>
      </c>
      <c r="L6" s="13" t="s">
        <v>4</v>
      </c>
      <c r="M6" s="13"/>
      <c r="N6" s="13"/>
      <c r="O6" s="13"/>
    </row>
    <row r="7" spans="1:15" ht="45.75" customHeight="1" x14ac:dyDescent="0.35">
      <c r="A7" s="13" t="s">
        <v>382</v>
      </c>
      <c r="B7" s="13" t="s">
        <v>13</v>
      </c>
      <c r="C7" s="13" t="s">
        <v>372</v>
      </c>
      <c r="D7" s="13" t="s">
        <v>44</v>
      </c>
      <c r="E7" s="13" t="s">
        <v>383</v>
      </c>
      <c r="F7" s="13" t="s">
        <v>46</v>
      </c>
      <c r="G7" s="13" t="s">
        <v>60</v>
      </c>
      <c r="H7" s="13" t="s">
        <v>384</v>
      </c>
      <c r="I7" s="13" t="s">
        <v>71</v>
      </c>
      <c r="J7" s="13" t="s">
        <v>385</v>
      </c>
      <c r="K7" s="13" t="s">
        <v>795</v>
      </c>
      <c r="L7" s="13" t="s">
        <v>4</v>
      </c>
      <c r="M7" s="13"/>
      <c r="N7" s="13"/>
      <c r="O7" s="13"/>
    </row>
    <row r="8" spans="1:15" ht="45.75" customHeight="1" x14ac:dyDescent="0.35">
      <c r="A8" s="13" t="s">
        <v>386</v>
      </c>
      <c r="B8" s="13" t="s">
        <v>13</v>
      </c>
      <c r="C8" s="13" t="s">
        <v>372</v>
      </c>
      <c r="D8" s="13" t="s">
        <v>44</v>
      </c>
      <c r="E8" s="13" t="s">
        <v>387</v>
      </c>
      <c r="F8" s="13" t="s">
        <v>53</v>
      </c>
      <c r="G8" s="13" t="s">
        <v>388</v>
      </c>
      <c r="H8" s="13" t="s">
        <v>389</v>
      </c>
      <c r="I8" s="13" t="s">
        <v>136</v>
      </c>
      <c r="J8" s="13" t="s">
        <v>390</v>
      </c>
      <c r="K8" s="13" t="s">
        <v>783</v>
      </c>
      <c r="L8" s="13" t="s">
        <v>5</v>
      </c>
      <c r="M8" s="13"/>
      <c r="N8" s="13"/>
      <c r="O8" s="13"/>
    </row>
    <row r="9" spans="1:15" ht="45.75" customHeight="1" x14ac:dyDescent="0.35">
      <c r="A9" s="13" t="s">
        <v>391</v>
      </c>
      <c r="B9" s="13" t="s">
        <v>13</v>
      </c>
      <c r="C9" s="13" t="s">
        <v>372</v>
      </c>
      <c r="D9" s="13" t="s">
        <v>44</v>
      </c>
      <c r="E9" s="13" t="s">
        <v>392</v>
      </c>
      <c r="F9" s="13" t="s">
        <v>53</v>
      </c>
      <c r="G9" s="13" t="s">
        <v>393</v>
      </c>
      <c r="H9" s="13" t="s">
        <v>394</v>
      </c>
      <c r="I9" s="13" t="s">
        <v>136</v>
      </c>
      <c r="J9" s="13" t="s">
        <v>395</v>
      </c>
      <c r="K9" s="13" t="s">
        <v>784</v>
      </c>
      <c r="L9" s="13" t="s">
        <v>5</v>
      </c>
      <c r="M9" s="13"/>
      <c r="N9" s="13"/>
      <c r="O9" s="13"/>
    </row>
    <row r="10" spans="1:15" ht="45.75" customHeight="1" x14ac:dyDescent="0.35">
      <c r="A10" s="13" t="s">
        <v>396</v>
      </c>
      <c r="B10" s="13" t="s">
        <v>13</v>
      </c>
      <c r="C10" s="13" t="s">
        <v>372</v>
      </c>
      <c r="D10" s="13" t="s">
        <v>44</v>
      </c>
      <c r="E10" s="13" t="s">
        <v>397</v>
      </c>
      <c r="F10" s="13" t="s">
        <v>53</v>
      </c>
      <c r="G10" s="13" t="s">
        <v>60</v>
      </c>
      <c r="H10" s="13" t="s">
        <v>398</v>
      </c>
      <c r="I10" s="13" t="s">
        <v>71</v>
      </c>
      <c r="J10" s="13" t="s">
        <v>399</v>
      </c>
      <c r="K10" s="13" t="s">
        <v>785</v>
      </c>
      <c r="L10" s="13" t="s">
        <v>4</v>
      </c>
      <c r="M10" s="13"/>
      <c r="N10" s="13"/>
      <c r="O10" s="13"/>
    </row>
    <row r="11" spans="1:15" ht="45.75" customHeight="1" x14ac:dyDescent="0.35">
      <c r="A11" s="13" t="s">
        <v>400</v>
      </c>
      <c r="B11" s="13" t="s">
        <v>13</v>
      </c>
      <c r="C11" s="13" t="s">
        <v>372</v>
      </c>
      <c r="D11" s="13" t="s">
        <v>44</v>
      </c>
      <c r="E11" s="13" t="s">
        <v>401</v>
      </c>
      <c r="F11" s="13" t="s">
        <v>53</v>
      </c>
      <c r="G11" s="13" t="s">
        <v>402</v>
      </c>
      <c r="H11" s="13" t="s">
        <v>403</v>
      </c>
      <c r="I11" s="13" t="s">
        <v>71</v>
      </c>
      <c r="J11" s="13" t="s">
        <v>404</v>
      </c>
      <c r="K11" s="13" t="s">
        <v>786</v>
      </c>
      <c r="L11" s="13" t="s">
        <v>4</v>
      </c>
      <c r="M11" s="13"/>
      <c r="N11" s="13"/>
      <c r="O11" s="13"/>
    </row>
    <row r="12" spans="1:15" ht="45.75" customHeight="1" x14ac:dyDescent="0.35">
      <c r="A12" s="13" t="s">
        <v>405</v>
      </c>
      <c r="B12" s="13" t="s">
        <v>13</v>
      </c>
      <c r="C12" s="13" t="s">
        <v>372</v>
      </c>
      <c r="D12" s="13" t="s">
        <v>44</v>
      </c>
      <c r="E12" s="13" t="s">
        <v>406</v>
      </c>
      <c r="F12" s="13" t="s">
        <v>53</v>
      </c>
      <c r="G12" s="13" t="s">
        <v>407</v>
      </c>
      <c r="H12" s="13" t="s">
        <v>408</v>
      </c>
      <c r="I12" s="13" t="s">
        <v>71</v>
      </c>
      <c r="J12" s="13" t="s">
        <v>409</v>
      </c>
      <c r="K12" s="13" t="s">
        <v>787</v>
      </c>
      <c r="L12" s="13" t="s">
        <v>4</v>
      </c>
      <c r="M12" s="13"/>
      <c r="N12" s="13"/>
      <c r="O12" s="13"/>
    </row>
    <row r="13" spans="1:15" ht="45.75" customHeight="1" x14ac:dyDescent="0.35">
      <c r="A13" s="13" t="s">
        <v>410</v>
      </c>
      <c r="B13" s="13" t="s">
        <v>13</v>
      </c>
      <c r="C13" s="13" t="s">
        <v>372</v>
      </c>
      <c r="D13" s="13" t="s">
        <v>44</v>
      </c>
      <c r="E13" s="13" t="s">
        <v>411</v>
      </c>
      <c r="F13" s="13" t="s">
        <v>53</v>
      </c>
      <c r="G13" s="13" t="s">
        <v>60</v>
      </c>
      <c r="H13" s="13" t="s">
        <v>412</v>
      </c>
      <c r="I13" s="13" t="s">
        <v>71</v>
      </c>
      <c r="J13" s="13" t="s">
        <v>413</v>
      </c>
      <c r="K13" s="13" t="s">
        <v>788</v>
      </c>
      <c r="L13" s="13" t="s">
        <v>4</v>
      </c>
      <c r="M13" s="13"/>
      <c r="N13" s="13"/>
      <c r="O13" s="13"/>
    </row>
    <row r="14" spans="1:15" ht="45.75" customHeight="1" x14ac:dyDescent="0.35">
      <c r="A14" s="13" t="s">
        <v>414</v>
      </c>
      <c r="B14" s="13" t="s">
        <v>13</v>
      </c>
      <c r="C14" s="13" t="s">
        <v>372</v>
      </c>
      <c r="D14" s="13" t="s">
        <v>44</v>
      </c>
      <c r="E14" s="13" t="s">
        <v>415</v>
      </c>
      <c r="F14" s="13" t="s">
        <v>53</v>
      </c>
      <c r="G14" s="13" t="s">
        <v>416</v>
      </c>
      <c r="H14" s="13" t="s">
        <v>417</v>
      </c>
      <c r="I14" s="13" t="s">
        <v>136</v>
      </c>
      <c r="J14" s="13" t="s">
        <v>418</v>
      </c>
      <c r="K14" s="13" t="s">
        <v>789</v>
      </c>
      <c r="L14" s="13" t="s">
        <v>4</v>
      </c>
      <c r="M14" s="13"/>
      <c r="N14" s="13"/>
      <c r="O14" s="13"/>
    </row>
    <row r="15" spans="1:15" ht="45.75" customHeight="1" x14ac:dyDescent="0.35">
      <c r="A15" s="13" t="s">
        <v>419</v>
      </c>
      <c r="B15" s="13" t="s">
        <v>13</v>
      </c>
      <c r="C15" s="13" t="s">
        <v>420</v>
      </c>
      <c r="D15" s="13" t="s">
        <v>44</v>
      </c>
      <c r="E15" s="13" t="s">
        <v>421</v>
      </c>
      <c r="F15" s="13" t="s">
        <v>53</v>
      </c>
      <c r="G15" s="13" t="s">
        <v>422</v>
      </c>
      <c r="H15" s="13" t="s">
        <v>423</v>
      </c>
      <c r="I15" s="13" t="s">
        <v>136</v>
      </c>
      <c r="J15" s="13" t="s">
        <v>424</v>
      </c>
      <c r="K15" s="13" t="s">
        <v>790</v>
      </c>
      <c r="L15" s="13" t="s">
        <v>4</v>
      </c>
      <c r="M15" s="13"/>
      <c r="N15" s="13"/>
      <c r="O15" s="13"/>
    </row>
    <row r="16" spans="1:15" ht="45.75" customHeight="1" x14ac:dyDescent="0.35">
      <c r="A16" s="13" t="s">
        <v>425</v>
      </c>
      <c r="B16" s="13" t="s">
        <v>13</v>
      </c>
      <c r="C16" s="13" t="s">
        <v>420</v>
      </c>
      <c r="D16" s="13" t="s">
        <v>44</v>
      </c>
      <c r="E16" s="13" t="s">
        <v>426</v>
      </c>
      <c r="F16" s="13" t="s">
        <v>53</v>
      </c>
      <c r="G16" s="13" t="s">
        <v>427</v>
      </c>
      <c r="H16" s="13" t="s">
        <v>428</v>
      </c>
      <c r="I16" s="13" t="s">
        <v>71</v>
      </c>
      <c r="J16" s="13" t="s">
        <v>429</v>
      </c>
      <c r="K16" s="13" t="s">
        <v>791</v>
      </c>
      <c r="L16" s="13" t="s">
        <v>4</v>
      </c>
      <c r="M16" s="13"/>
      <c r="N16" s="13"/>
      <c r="O16" s="13"/>
    </row>
    <row r="17" spans="1:15" ht="45.75" customHeight="1" x14ac:dyDescent="0.35">
      <c r="A17" s="13" t="s">
        <v>430</v>
      </c>
      <c r="B17" s="13" t="s">
        <v>13</v>
      </c>
      <c r="C17" s="13" t="s">
        <v>431</v>
      </c>
      <c r="D17" s="13" t="s">
        <v>75</v>
      </c>
      <c r="E17" s="13" t="s">
        <v>432</v>
      </c>
      <c r="F17" s="13" t="s">
        <v>53</v>
      </c>
      <c r="G17" s="13" t="s">
        <v>433</v>
      </c>
      <c r="H17" s="13" t="s">
        <v>434</v>
      </c>
      <c r="I17" s="13" t="s">
        <v>49</v>
      </c>
      <c r="J17" s="13" t="s">
        <v>435</v>
      </c>
      <c r="K17" s="13" t="s">
        <v>792</v>
      </c>
      <c r="L17" s="13" t="s">
        <v>4</v>
      </c>
      <c r="M17" s="13"/>
      <c r="N17" s="13"/>
      <c r="O17" s="13"/>
    </row>
    <row r="18" spans="1:15" ht="45.75" customHeight="1" x14ac:dyDescent="0.35">
      <c r="A18" s="13" t="s">
        <v>436</v>
      </c>
      <c r="B18" s="13" t="s">
        <v>13</v>
      </c>
      <c r="C18" s="13" t="s">
        <v>437</v>
      </c>
      <c r="D18" s="13" t="s">
        <v>75</v>
      </c>
      <c r="E18" s="13" t="s">
        <v>438</v>
      </c>
      <c r="F18" s="13" t="s">
        <v>439</v>
      </c>
      <c r="G18" s="13" t="s">
        <v>440</v>
      </c>
      <c r="H18" s="13" t="s">
        <v>121</v>
      </c>
      <c r="I18" s="13" t="s">
        <v>49</v>
      </c>
      <c r="J18" s="13" t="s">
        <v>441</v>
      </c>
      <c r="K18" s="13" t="s">
        <v>793</v>
      </c>
      <c r="L18" s="13" t="s">
        <v>4</v>
      </c>
      <c r="M18" s="13"/>
      <c r="N18" s="13"/>
      <c r="O18" s="13"/>
    </row>
    <row r="19" spans="1:15" ht="45.75" customHeight="1" x14ac:dyDescent="0.35">
      <c r="A19" s="13" t="s">
        <v>442</v>
      </c>
      <c r="B19" s="13" t="s">
        <v>13</v>
      </c>
      <c r="C19" s="13" t="s">
        <v>431</v>
      </c>
      <c r="D19" s="13" t="s">
        <v>75</v>
      </c>
      <c r="E19" s="13" t="s">
        <v>443</v>
      </c>
      <c r="F19" s="13" t="s">
        <v>444</v>
      </c>
      <c r="G19" s="13" t="s">
        <v>445</v>
      </c>
      <c r="H19" s="13" t="s">
        <v>446</v>
      </c>
      <c r="I19" s="13" t="s">
        <v>447</v>
      </c>
      <c r="J19" s="13" t="s">
        <v>448</v>
      </c>
      <c r="K19" s="13"/>
      <c r="L19" s="13" t="s">
        <v>4</v>
      </c>
      <c r="M19" s="13"/>
      <c r="N19" s="13"/>
      <c r="O19" s="13"/>
    </row>
  </sheetData>
  <autoFilter ref="A4:O19"/>
  <mergeCells count="2">
    <mergeCell ref="A1:O1"/>
    <mergeCell ref="A2:O2"/>
  </mergeCells>
  <conditionalFormatting sqref="L5:L19">
    <cfRule type="cellIs" dxfId="19" priority="2" operator="equal">
      <formula>"Pass"</formula>
    </cfRule>
    <cfRule type="cellIs" dxfId="18" priority="3" operator="equal">
      <formula>"Fail"</formula>
    </cfRule>
    <cfRule type="cellIs" dxfId="17" priority="4" operator="equal">
      <formula>"Blocked"</formula>
    </cfRule>
    <cfRule type="cellIs" dxfId="16" priority="5" operator="equal">
      <formula>"Not Tested"</formula>
    </cfRule>
  </conditionalFormatting>
  <dataValidations disablePrompts="1" count="1">
    <dataValidation type="list" allowBlank="1" sqref="L5:L19">
      <formula1>"Not Tested,Pass,Fail,Blocked"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topLeftCell="C1" zoomScale="67" zoomScaleNormal="67" workbookViewId="0">
      <pane ySplit="4" topLeftCell="A10" activePane="bottomLeft" state="frozen"/>
      <selection pane="bottomLeft" activeCell="H20" sqref="H20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30" customWidth="1"/>
    <col min="4" max="4" width="9" customWidth="1"/>
    <col min="5" max="5" width="34" customWidth="1"/>
    <col min="6" max="6" width="14" customWidth="1"/>
    <col min="7" max="7" width="26" customWidth="1"/>
    <col min="8" max="8" width="42" customWidth="1"/>
    <col min="9" max="9" width="13" customWidth="1"/>
    <col min="10" max="10" width="34" customWidth="1"/>
    <col min="11" max="11" width="26" customWidth="1"/>
    <col min="12" max="12" width="11" customWidth="1"/>
    <col min="13" max="13" width="24" customWidth="1"/>
    <col min="14" max="14" width="12" customWidth="1"/>
    <col min="15" max="15" width="13" customWidth="1"/>
  </cols>
  <sheetData>
    <row r="1" spans="1:15" ht="21.75" customHeight="1" x14ac:dyDescent="0.4">
      <c r="A1" s="1" t="s">
        <v>449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35">
      <c r="A2" s="2" t="s">
        <v>450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7.75" customHeight="1" x14ac:dyDescent="0.3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</row>
    <row r="5" spans="1:15" ht="45.75" customHeight="1" x14ac:dyDescent="0.35">
      <c r="A5" s="13" t="s">
        <v>451</v>
      </c>
      <c r="B5" s="13" t="s">
        <v>14</v>
      </c>
      <c r="C5" s="13" t="s">
        <v>452</v>
      </c>
      <c r="D5" s="13" t="s">
        <v>44</v>
      </c>
      <c r="E5" s="13" t="s">
        <v>453</v>
      </c>
      <c r="F5" s="13" t="s">
        <v>46</v>
      </c>
      <c r="G5" s="13" t="s">
        <v>60</v>
      </c>
      <c r="H5" s="13" t="s">
        <v>454</v>
      </c>
      <c r="I5" s="13" t="s">
        <v>136</v>
      </c>
      <c r="J5" s="13" t="s">
        <v>455</v>
      </c>
      <c r="K5" s="13" t="s">
        <v>818</v>
      </c>
      <c r="L5" s="13" t="s">
        <v>4</v>
      </c>
      <c r="M5" s="13"/>
      <c r="N5" s="13"/>
      <c r="O5" s="13"/>
    </row>
    <row r="6" spans="1:15" ht="45.75" customHeight="1" x14ac:dyDescent="0.35">
      <c r="A6" s="13" t="s">
        <v>456</v>
      </c>
      <c r="B6" s="13" t="s">
        <v>14</v>
      </c>
      <c r="C6" s="13" t="s">
        <v>452</v>
      </c>
      <c r="D6" s="13" t="s">
        <v>44</v>
      </c>
      <c r="E6" s="13" t="s">
        <v>457</v>
      </c>
      <c r="F6" s="13" t="s">
        <v>46</v>
      </c>
      <c r="G6" s="13" t="s">
        <v>458</v>
      </c>
      <c r="H6" s="13" t="s">
        <v>459</v>
      </c>
      <c r="I6" s="13" t="s">
        <v>136</v>
      </c>
      <c r="J6" s="13" t="s">
        <v>460</v>
      </c>
      <c r="K6" s="13" t="s">
        <v>819</v>
      </c>
      <c r="L6" s="13" t="s">
        <v>4</v>
      </c>
      <c r="M6" s="13"/>
      <c r="N6" s="13"/>
      <c r="O6" s="13"/>
    </row>
    <row r="7" spans="1:15" ht="45.75" customHeight="1" x14ac:dyDescent="0.35">
      <c r="A7" s="13" t="s">
        <v>461</v>
      </c>
      <c r="B7" s="13" t="s">
        <v>14</v>
      </c>
      <c r="C7" s="13" t="s">
        <v>452</v>
      </c>
      <c r="D7" s="13" t="s">
        <v>75</v>
      </c>
      <c r="E7" s="13" t="s">
        <v>462</v>
      </c>
      <c r="F7" s="13" t="s">
        <v>125</v>
      </c>
      <c r="G7" s="13" t="s">
        <v>463</v>
      </c>
      <c r="H7" s="13" t="s">
        <v>121</v>
      </c>
      <c r="I7" s="13" t="s">
        <v>49</v>
      </c>
      <c r="J7" s="13" t="s">
        <v>464</v>
      </c>
      <c r="K7" s="13" t="s">
        <v>820</v>
      </c>
      <c r="L7" s="13" t="s">
        <v>4</v>
      </c>
      <c r="M7" s="13"/>
      <c r="N7" s="13"/>
      <c r="O7" s="13"/>
    </row>
    <row r="8" spans="1:15" ht="45.75" customHeight="1" x14ac:dyDescent="0.35">
      <c r="A8" s="13" t="s">
        <v>465</v>
      </c>
      <c r="B8" s="13" t="s">
        <v>14</v>
      </c>
      <c r="C8" s="13" t="s">
        <v>466</v>
      </c>
      <c r="D8" s="13" t="s">
        <v>44</v>
      </c>
      <c r="E8" s="13" t="s">
        <v>467</v>
      </c>
      <c r="F8" s="13" t="s">
        <v>468</v>
      </c>
      <c r="G8" s="13" t="s">
        <v>469</v>
      </c>
      <c r="H8" s="13" t="s">
        <v>470</v>
      </c>
      <c r="I8" s="13" t="s">
        <v>136</v>
      </c>
      <c r="J8" s="13" t="s">
        <v>471</v>
      </c>
      <c r="K8" s="13" t="s">
        <v>821</v>
      </c>
      <c r="L8" s="13" t="s">
        <v>4</v>
      </c>
      <c r="M8" s="13"/>
      <c r="N8" s="13"/>
      <c r="O8" s="13"/>
    </row>
    <row r="9" spans="1:15" ht="45.75" customHeight="1" x14ac:dyDescent="0.35">
      <c r="A9" s="13" t="s">
        <v>472</v>
      </c>
      <c r="B9" s="13" t="s">
        <v>14</v>
      </c>
      <c r="C9" s="13" t="s">
        <v>466</v>
      </c>
      <c r="D9" s="13" t="s">
        <v>44</v>
      </c>
      <c r="E9" s="13" t="s">
        <v>473</v>
      </c>
      <c r="F9" s="13" t="s">
        <v>474</v>
      </c>
      <c r="G9" s="13" t="s">
        <v>475</v>
      </c>
      <c r="H9" s="13" t="s">
        <v>476</v>
      </c>
      <c r="I9" s="13" t="s">
        <v>136</v>
      </c>
      <c r="J9" s="13" t="s">
        <v>477</v>
      </c>
      <c r="K9" s="13" t="s">
        <v>822</v>
      </c>
      <c r="L9" s="13" t="s">
        <v>4</v>
      </c>
      <c r="M9" s="13"/>
      <c r="N9" s="13"/>
      <c r="O9" s="13"/>
    </row>
    <row r="10" spans="1:15" ht="45.75" customHeight="1" x14ac:dyDescent="0.35">
      <c r="A10" s="13" t="s">
        <v>478</v>
      </c>
      <c r="B10" s="13" t="s">
        <v>14</v>
      </c>
      <c r="C10" s="13" t="s">
        <v>466</v>
      </c>
      <c r="D10" s="13" t="s">
        <v>75</v>
      </c>
      <c r="E10" s="13" t="s">
        <v>479</v>
      </c>
      <c r="F10" s="13" t="s">
        <v>361</v>
      </c>
      <c r="G10" s="13" t="s">
        <v>480</v>
      </c>
      <c r="H10" s="13" t="s">
        <v>481</v>
      </c>
      <c r="I10" s="13" t="s">
        <v>49</v>
      </c>
      <c r="J10" s="13" t="s">
        <v>482</v>
      </c>
      <c r="K10" s="13" t="s">
        <v>823</v>
      </c>
      <c r="L10" s="13" t="s">
        <v>4</v>
      </c>
      <c r="M10" s="13"/>
      <c r="N10" s="13"/>
      <c r="O10" s="13"/>
    </row>
    <row r="11" spans="1:15" ht="45.75" customHeight="1" x14ac:dyDescent="0.35">
      <c r="A11" s="13" t="s">
        <v>483</v>
      </c>
      <c r="B11" s="13" t="s">
        <v>14</v>
      </c>
      <c r="C11" s="13" t="s">
        <v>484</v>
      </c>
      <c r="D11" s="13" t="s">
        <v>44</v>
      </c>
      <c r="E11" s="13" t="s">
        <v>485</v>
      </c>
      <c r="F11" s="13" t="s">
        <v>53</v>
      </c>
      <c r="G11" s="13" t="s">
        <v>486</v>
      </c>
      <c r="H11" s="13" t="s">
        <v>487</v>
      </c>
      <c r="I11" s="13" t="s">
        <v>136</v>
      </c>
      <c r="J11" s="13" t="s">
        <v>488</v>
      </c>
      <c r="K11" s="13" t="s">
        <v>777</v>
      </c>
      <c r="L11" s="13" t="s">
        <v>5</v>
      </c>
      <c r="M11" s="13"/>
      <c r="N11" s="13"/>
      <c r="O11" s="13"/>
    </row>
    <row r="12" spans="1:15" ht="45.75" customHeight="1" x14ac:dyDescent="0.35">
      <c r="A12" s="13" t="s">
        <v>489</v>
      </c>
      <c r="B12" s="13" t="s">
        <v>14</v>
      </c>
      <c r="C12" s="13" t="s">
        <v>490</v>
      </c>
      <c r="D12" s="13" t="s">
        <v>44</v>
      </c>
      <c r="E12" s="13" t="s">
        <v>491</v>
      </c>
      <c r="F12" s="13" t="s">
        <v>53</v>
      </c>
      <c r="G12" s="13" t="s">
        <v>492</v>
      </c>
      <c r="H12" s="13" t="s">
        <v>493</v>
      </c>
      <c r="I12" s="13" t="s">
        <v>49</v>
      </c>
      <c r="J12" s="13" t="s">
        <v>494</v>
      </c>
      <c r="K12" s="13" t="s">
        <v>824</v>
      </c>
      <c r="L12" s="13" t="s">
        <v>4</v>
      </c>
      <c r="M12" s="13"/>
      <c r="N12" s="13"/>
      <c r="O12" s="13"/>
    </row>
    <row r="13" spans="1:15" ht="45.75" customHeight="1" x14ac:dyDescent="0.35">
      <c r="A13" s="13" t="s">
        <v>495</v>
      </c>
      <c r="B13" s="13" t="s">
        <v>14</v>
      </c>
      <c r="C13" s="13" t="s">
        <v>496</v>
      </c>
      <c r="D13" s="13" t="s">
        <v>44</v>
      </c>
      <c r="E13" s="13" t="s">
        <v>497</v>
      </c>
      <c r="F13" s="13" t="s">
        <v>474</v>
      </c>
      <c r="G13" s="13" t="s">
        <v>60</v>
      </c>
      <c r="H13" s="13" t="s">
        <v>498</v>
      </c>
      <c r="I13" s="13" t="s">
        <v>136</v>
      </c>
      <c r="J13" s="13" t="s">
        <v>208</v>
      </c>
      <c r="K13" s="13" t="s">
        <v>825</v>
      </c>
      <c r="L13" s="13" t="s">
        <v>4</v>
      </c>
      <c r="M13" s="13"/>
      <c r="N13" s="13"/>
      <c r="O13" s="13"/>
    </row>
    <row r="14" spans="1:15" ht="45.75" customHeight="1" x14ac:dyDescent="0.35">
      <c r="A14" s="13" t="s">
        <v>499</v>
      </c>
      <c r="B14" s="13" t="s">
        <v>14</v>
      </c>
      <c r="C14" s="13" t="s">
        <v>500</v>
      </c>
      <c r="D14" s="13" t="s">
        <v>44</v>
      </c>
      <c r="E14" s="13" t="s">
        <v>501</v>
      </c>
      <c r="F14" s="13" t="s">
        <v>125</v>
      </c>
      <c r="G14" s="13" t="s">
        <v>502</v>
      </c>
      <c r="H14" s="13" t="s">
        <v>503</v>
      </c>
      <c r="I14" s="13" t="s">
        <v>136</v>
      </c>
      <c r="J14" s="13" t="s">
        <v>504</v>
      </c>
      <c r="K14" s="13" t="s">
        <v>781</v>
      </c>
      <c r="L14" s="13" t="s">
        <v>5</v>
      </c>
      <c r="M14" s="13"/>
      <c r="N14" s="13"/>
      <c r="O14" s="13"/>
    </row>
    <row r="15" spans="1:15" ht="45.75" customHeight="1" x14ac:dyDescent="0.35">
      <c r="A15" s="13" t="s">
        <v>505</v>
      </c>
      <c r="B15" s="13" t="s">
        <v>14</v>
      </c>
      <c r="C15" s="13" t="s">
        <v>500</v>
      </c>
      <c r="D15" s="13" t="s">
        <v>44</v>
      </c>
      <c r="E15" s="13" t="s">
        <v>506</v>
      </c>
      <c r="F15" s="13" t="s">
        <v>474</v>
      </c>
      <c r="G15" s="13" t="s">
        <v>469</v>
      </c>
      <c r="H15" s="13" t="s">
        <v>507</v>
      </c>
      <c r="I15" s="13" t="s">
        <v>136</v>
      </c>
      <c r="J15" s="13" t="s">
        <v>508</v>
      </c>
      <c r="K15" s="13" t="s">
        <v>826</v>
      </c>
      <c r="L15" s="13" t="s">
        <v>4</v>
      </c>
      <c r="M15" s="13"/>
      <c r="N15" s="13"/>
      <c r="O15" s="13"/>
    </row>
    <row r="16" spans="1:15" ht="45.75" customHeight="1" x14ac:dyDescent="0.35">
      <c r="A16" s="13" t="s">
        <v>509</v>
      </c>
      <c r="B16" s="13" t="s">
        <v>14</v>
      </c>
      <c r="C16" s="13" t="s">
        <v>500</v>
      </c>
      <c r="D16" s="13" t="s">
        <v>75</v>
      </c>
      <c r="E16" s="13" t="s">
        <v>510</v>
      </c>
      <c r="F16" s="13" t="s">
        <v>361</v>
      </c>
      <c r="G16" s="13" t="s">
        <v>511</v>
      </c>
      <c r="H16" s="13" t="s">
        <v>512</v>
      </c>
      <c r="I16" s="13" t="s">
        <v>49</v>
      </c>
      <c r="J16" s="13" t="s">
        <v>513</v>
      </c>
      <c r="K16" s="13" t="s">
        <v>767</v>
      </c>
      <c r="L16" s="13" t="s">
        <v>5</v>
      </c>
      <c r="M16" s="13"/>
      <c r="N16" s="13"/>
      <c r="O16" s="13"/>
    </row>
  </sheetData>
  <autoFilter ref="A4:O16"/>
  <mergeCells count="2">
    <mergeCell ref="A1:O1"/>
    <mergeCell ref="A2:O2"/>
  </mergeCells>
  <conditionalFormatting sqref="L5:L16">
    <cfRule type="cellIs" dxfId="15" priority="2" operator="equal">
      <formula>"Pass"</formula>
    </cfRule>
    <cfRule type="cellIs" dxfId="14" priority="3" operator="equal">
      <formula>"Fail"</formula>
    </cfRule>
    <cfRule type="cellIs" dxfId="13" priority="4" operator="equal">
      <formula>"Blocked"</formula>
    </cfRule>
    <cfRule type="cellIs" dxfId="12" priority="5" operator="equal">
      <formula>"Not Tested"</formula>
    </cfRule>
  </conditionalFormatting>
  <dataValidations count="1">
    <dataValidation type="list" allowBlank="1" sqref="L5:L16">
      <formula1>"Not Tested,Pass,Fail,Blocked"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showGridLines="0" topLeftCell="C1" zoomScale="67" zoomScaleNormal="67" workbookViewId="0">
      <pane ySplit="4" topLeftCell="A5" activePane="bottomLeft" state="frozen"/>
      <selection pane="bottomLeft" activeCell="K14" sqref="K14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30" customWidth="1"/>
    <col min="4" max="4" width="9" customWidth="1"/>
    <col min="5" max="5" width="34" customWidth="1"/>
    <col min="6" max="6" width="14" customWidth="1"/>
    <col min="7" max="7" width="26" customWidth="1"/>
    <col min="8" max="8" width="42" customWidth="1"/>
    <col min="9" max="9" width="13" customWidth="1"/>
    <col min="10" max="10" width="34" customWidth="1"/>
    <col min="11" max="11" width="26" customWidth="1"/>
    <col min="12" max="12" width="11" customWidth="1"/>
    <col min="13" max="13" width="24" customWidth="1"/>
    <col min="14" max="14" width="12" customWidth="1"/>
    <col min="15" max="15" width="13" customWidth="1"/>
  </cols>
  <sheetData>
    <row r="1" spans="1:15" ht="21.75" customHeight="1" x14ac:dyDescent="0.4">
      <c r="A1" s="1" t="s">
        <v>514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35">
      <c r="A2" s="2" t="s">
        <v>515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7.75" customHeight="1" x14ac:dyDescent="0.3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</row>
    <row r="5" spans="1:15" ht="45.75" customHeight="1" x14ac:dyDescent="0.35">
      <c r="A5" s="13" t="s">
        <v>516</v>
      </c>
      <c r="B5" s="13" t="s">
        <v>15</v>
      </c>
      <c r="C5" s="13" t="s">
        <v>517</v>
      </c>
      <c r="D5" s="13" t="s">
        <v>44</v>
      </c>
      <c r="E5" s="13" t="s">
        <v>518</v>
      </c>
      <c r="F5" s="13" t="s">
        <v>53</v>
      </c>
      <c r="G5" s="13" t="s">
        <v>519</v>
      </c>
      <c r="H5" s="13" t="s">
        <v>520</v>
      </c>
      <c r="I5" s="13" t="s">
        <v>136</v>
      </c>
      <c r="J5" s="13" t="s">
        <v>521</v>
      </c>
      <c r="K5" s="13" t="s">
        <v>796</v>
      </c>
      <c r="L5" s="13" t="s">
        <v>4</v>
      </c>
      <c r="M5" s="13"/>
      <c r="N5" s="13"/>
      <c r="O5" s="13"/>
    </row>
    <row r="6" spans="1:15" ht="45.75" customHeight="1" x14ac:dyDescent="0.35">
      <c r="A6" s="13" t="s">
        <v>522</v>
      </c>
      <c r="B6" s="13" t="s">
        <v>15</v>
      </c>
      <c r="C6" s="13" t="s">
        <v>517</v>
      </c>
      <c r="D6" s="13" t="s">
        <v>44</v>
      </c>
      <c r="E6" s="13" t="s">
        <v>523</v>
      </c>
      <c r="F6" s="13" t="s">
        <v>53</v>
      </c>
      <c r="G6" s="13" t="s">
        <v>524</v>
      </c>
      <c r="H6" s="13" t="s">
        <v>525</v>
      </c>
      <c r="I6" s="13" t="s">
        <v>71</v>
      </c>
      <c r="J6" s="13" t="s">
        <v>526</v>
      </c>
      <c r="K6" s="13" t="s">
        <v>797</v>
      </c>
      <c r="L6" s="13" t="s">
        <v>4</v>
      </c>
      <c r="M6" s="13"/>
      <c r="N6" s="13"/>
      <c r="O6" s="13"/>
    </row>
    <row r="7" spans="1:15" ht="45.75" customHeight="1" x14ac:dyDescent="0.35">
      <c r="A7" s="13" t="s">
        <v>527</v>
      </c>
      <c r="B7" s="13" t="s">
        <v>15</v>
      </c>
      <c r="C7" s="13" t="s">
        <v>517</v>
      </c>
      <c r="D7" s="13" t="s">
        <v>75</v>
      </c>
      <c r="E7" s="13" t="s">
        <v>528</v>
      </c>
      <c r="F7" s="13" t="s">
        <v>53</v>
      </c>
      <c r="G7" s="13" t="s">
        <v>416</v>
      </c>
      <c r="H7" s="13" t="s">
        <v>529</v>
      </c>
      <c r="I7" s="13" t="s">
        <v>49</v>
      </c>
      <c r="J7" s="13" t="s">
        <v>530</v>
      </c>
      <c r="K7" s="13" t="s">
        <v>798</v>
      </c>
      <c r="L7" s="13" t="s">
        <v>4</v>
      </c>
      <c r="M7" s="13"/>
      <c r="N7" s="13"/>
      <c r="O7" s="13"/>
    </row>
    <row r="8" spans="1:15" ht="45.75" customHeight="1" x14ac:dyDescent="0.35">
      <c r="A8" s="13" t="s">
        <v>531</v>
      </c>
      <c r="B8" s="13" t="s">
        <v>15</v>
      </c>
      <c r="C8" s="13" t="s">
        <v>532</v>
      </c>
      <c r="D8" s="13" t="s">
        <v>148</v>
      </c>
      <c r="E8" s="13" t="s">
        <v>533</v>
      </c>
      <c r="F8" s="13" t="s">
        <v>534</v>
      </c>
      <c r="G8" s="13" t="s">
        <v>535</v>
      </c>
      <c r="H8" s="13" t="s">
        <v>536</v>
      </c>
      <c r="I8" s="13" t="s">
        <v>49</v>
      </c>
      <c r="J8" s="13" t="s">
        <v>537</v>
      </c>
      <c r="K8" s="13" t="s">
        <v>799</v>
      </c>
      <c r="L8" s="13" t="s">
        <v>4</v>
      </c>
      <c r="M8" s="13"/>
      <c r="N8" s="13"/>
      <c r="O8" s="13"/>
    </row>
    <row r="9" spans="1:15" ht="45.75" customHeight="1" x14ac:dyDescent="0.35">
      <c r="A9" s="13" t="s">
        <v>538</v>
      </c>
      <c r="B9" s="13" t="s">
        <v>15</v>
      </c>
      <c r="C9" s="13" t="s">
        <v>539</v>
      </c>
      <c r="D9" s="13" t="s">
        <v>75</v>
      </c>
      <c r="E9" s="13" t="s">
        <v>540</v>
      </c>
      <c r="F9" s="13" t="s">
        <v>59</v>
      </c>
      <c r="G9" s="13" t="s">
        <v>541</v>
      </c>
      <c r="H9" s="13" t="s">
        <v>542</v>
      </c>
      <c r="I9" s="13" t="s">
        <v>49</v>
      </c>
      <c r="J9" s="13" t="s">
        <v>543</v>
      </c>
      <c r="K9" s="13" t="s">
        <v>767</v>
      </c>
      <c r="L9" s="13" t="s">
        <v>4</v>
      </c>
      <c r="M9" s="13"/>
      <c r="N9" s="13"/>
      <c r="O9" s="13"/>
    </row>
    <row r="10" spans="1:15" ht="45.75" customHeight="1" x14ac:dyDescent="0.35">
      <c r="A10" s="13" t="s">
        <v>544</v>
      </c>
      <c r="B10" s="13" t="s">
        <v>15</v>
      </c>
      <c r="C10" s="13" t="s">
        <v>545</v>
      </c>
      <c r="D10" s="13" t="s">
        <v>44</v>
      </c>
      <c r="E10" s="13" t="s">
        <v>546</v>
      </c>
      <c r="F10" s="13" t="s">
        <v>547</v>
      </c>
      <c r="G10" s="13" t="s">
        <v>416</v>
      </c>
      <c r="H10" s="13" t="s">
        <v>548</v>
      </c>
      <c r="I10" s="13" t="s">
        <v>136</v>
      </c>
      <c r="J10" s="13" t="s">
        <v>549</v>
      </c>
      <c r="K10" s="13" t="s">
        <v>800</v>
      </c>
      <c r="L10" s="13" t="s">
        <v>4</v>
      </c>
      <c r="M10" s="13"/>
      <c r="N10" s="13"/>
      <c r="O10" s="13"/>
    </row>
    <row r="11" spans="1:15" ht="45.75" customHeight="1" x14ac:dyDescent="0.35">
      <c r="A11" s="13" t="s">
        <v>550</v>
      </c>
      <c r="B11" s="13" t="s">
        <v>15</v>
      </c>
      <c r="C11" s="13" t="s">
        <v>545</v>
      </c>
      <c r="D11" s="13" t="s">
        <v>75</v>
      </c>
      <c r="E11" s="13" t="s">
        <v>551</v>
      </c>
      <c r="F11" s="13" t="s">
        <v>59</v>
      </c>
      <c r="G11" s="13" t="s">
        <v>552</v>
      </c>
      <c r="H11" s="13" t="s">
        <v>542</v>
      </c>
      <c r="I11" s="13" t="s">
        <v>49</v>
      </c>
      <c r="J11" s="13" t="s">
        <v>553</v>
      </c>
      <c r="K11" s="13" t="s">
        <v>801</v>
      </c>
      <c r="L11" s="13" t="s">
        <v>4</v>
      </c>
      <c r="M11" s="13"/>
      <c r="N11" s="13"/>
      <c r="O11" s="13"/>
    </row>
  </sheetData>
  <autoFilter ref="A4:O11"/>
  <mergeCells count="2">
    <mergeCell ref="A1:O1"/>
    <mergeCell ref="A2:O2"/>
  </mergeCells>
  <conditionalFormatting sqref="L5:L11">
    <cfRule type="cellIs" dxfId="11" priority="2" operator="equal">
      <formula>"Pass"</formula>
    </cfRule>
    <cfRule type="cellIs" dxfId="10" priority="3" operator="equal">
      <formula>"Fail"</formula>
    </cfRule>
    <cfRule type="cellIs" dxfId="9" priority="4" operator="equal">
      <formula>"Blocked"</formula>
    </cfRule>
    <cfRule type="cellIs" dxfId="8" priority="5" operator="equal">
      <formula>"Not Tested"</formula>
    </cfRule>
  </conditionalFormatting>
  <dataValidations count="1">
    <dataValidation type="list" allowBlank="1" sqref="L5:L11">
      <formula1>"Not Tested,Pass,Fail,Blocked"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showGridLines="0" topLeftCell="C1" zoomScale="67" zoomScaleNormal="67" workbookViewId="0">
      <pane ySplit="4" topLeftCell="A5" activePane="bottomLeft" state="frozen"/>
      <selection pane="bottomLeft" activeCell="L24" sqref="L24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30" customWidth="1"/>
    <col min="4" max="4" width="9" customWidth="1"/>
    <col min="5" max="5" width="34" customWidth="1"/>
    <col min="6" max="6" width="14" customWidth="1"/>
    <col min="7" max="7" width="26" customWidth="1"/>
    <col min="8" max="8" width="42" customWidth="1"/>
    <col min="9" max="9" width="13" customWidth="1"/>
    <col min="10" max="10" width="34" customWidth="1"/>
    <col min="11" max="11" width="26" customWidth="1"/>
    <col min="12" max="12" width="11" customWidth="1"/>
    <col min="13" max="13" width="24" customWidth="1"/>
    <col min="14" max="14" width="12" customWidth="1"/>
    <col min="15" max="15" width="13" customWidth="1"/>
  </cols>
  <sheetData>
    <row r="1" spans="1:15" ht="21.75" customHeight="1" x14ac:dyDescent="0.4">
      <c r="A1" s="1" t="s">
        <v>554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35">
      <c r="A2" s="2" t="s">
        <v>555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7.75" customHeight="1" x14ac:dyDescent="0.3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</row>
    <row r="5" spans="1:15" ht="45.75" customHeight="1" x14ac:dyDescent="0.35">
      <c r="A5" s="13" t="s">
        <v>556</v>
      </c>
      <c r="B5" s="13" t="s">
        <v>16</v>
      </c>
      <c r="C5" s="13" t="s">
        <v>557</v>
      </c>
      <c r="D5" s="13" t="s">
        <v>75</v>
      </c>
      <c r="E5" s="13" t="s">
        <v>558</v>
      </c>
      <c r="F5" s="13" t="s">
        <v>46</v>
      </c>
      <c r="G5" s="13" t="s">
        <v>559</v>
      </c>
      <c r="H5" s="13" t="s">
        <v>560</v>
      </c>
      <c r="I5" s="13" t="s">
        <v>49</v>
      </c>
      <c r="J5" s="13" t="s">
        <v>561</v>
      </c>
      <c r="K5" s="13" t="s">
        <v>802</v>
      </c>
      <c r="L5" s="13" t="s">
        <v>4</v>
      </c>
      <c r="M5" s="13"/>
      <c r="N5" s="13"/>
      <c r="O5" s="13"/>
    </row>
    <row r="6" spans="1:15" ht="45.75" customHeight="1" x14ac:dyDescent="0.35">
      <c r="A6" s="13" t="s">
        <v>562</v>
      </c>
      <c r="B6" s="13" t="s">
        <v>16</v>
      </c>
      <c r="C6" s="13" t="s">
        <v>557</v>
      </c>
      <c r="D6" s="13" t="s">
        <v>75</v>
      </c>
      <c r="E6" s="13" t="s">
        <v>563</v>
      </c>
      <c r="F6" s="13" t="s">
        <v>46</v>
      </c>
      <c r="G6" s="13" t="s">
        <v>168</v>
      </c>
      <c r="H6" s="13" t="s">
        <v>564</v>
      </c>
      <c r="I6" s="13" t="s">
        <v>49</v>
      </c>
      <c r="J6" s="13" t="s">
        <v>565</v>
      </c>
      <c r="K6" s="13" t="s">
        <v>802</v>
      </c>
      <c r="L6" s="13" t="s">
        <v>4</v>
      </c>
      <c r="M6" s="13"/>
      <c r="N6" s="13"/>
      <c r="O6" s="13"/>
    </row>
    <row r="7" spans="1:15" ht="45.75" customHeight="1" x14ac:dyDescent="0.35">
      <c r="A7" s="13" t="s">
        <v>566</v>
      </c>
      <c r="B7" s="13" t="s">
        <v>16</v>
      </c>
      <c r="C7" s="13" t="s">
        <v>557</v>
      </c>
      <c r="D7" s="13" t="s">
        <v>75</v>
      </c>
      <c r="E7" s="13" t="s">
        <v>567</v>
      </c>
      <c r="F7" s="13" t="s">
        <v>53</v>
      </c>
      <c r="G7" s="13" t="s">
        <v>60</v>
      </c>
      <c r="H7" s="13" t="s">
        <v>121</v>
      </c>
      <c r="I7" s="13" t="s">
        <v>130</v>
      </c>
      <c r="J7" s="13" t="s">
        <v>568</v>
      </c>
      <c r="K7" s="13" t="s">
        <v>803</v>
      </c>
      <c r="L7" s="13" t="s">
        <v>4</v>
      </c>
      <c r="M7" s="13"/>
      <c r="N7" s="13"/>
      <c r="O7" s="13"/>
    </row>
    <row r="8" spans="1:15" ht="45.75" customHeight="1" x14ac:dyDescent="0.35">
      <c r="A8" s="13" t="s">
        <v>569</v>
      </c>
      <c r="B8" s="13" t="s">
        <v>16</v>
      </c>
      <c r="C8" s="13" t="s">
        <v>570</v>
      </c>
      <c r="D8" s="13" t="s">
        <v>75</v>
      </c>
      <c r="E8" s="13" t="s">
        <v>571</v>
      </c>
      <c r="F8" s="13" t="s">
        <v>572</v>
      </c>
      <c r="G8" s="13" t="s">
        <v>573</v>
      </c>
      <c r="H8" s="13" t="s">
        <v>574</v>
      </c>
      <c r="I8" s="13" t="s">
        <v>49</v>
      </c>
      <c r="J8" s="13" t="s">
        <v>575</v>
      </c>
      <c r="K8" s="13" t="s">
        <v>804</v>
      </c>
      <c r="L8" s="13" t="s">
        <v>4</v>
      </c>
      <c r="M8" s="13"/>
      <c r="N8" s="13"/>
      <c r="O8" s="13"/>
    </row>
    <row r="9" spans="1:15" ht="45.75" customHeight="1" x14ac:dyDescent="0.35">
      <c r="A9" s="13" t="s">
        <v>576</v>
      </c>
      <c r="B9" s="13" t="s">
        <v>16</v>
      </c>
      <c r="C9" s="13" t="s">
        <v>577</v>
      </c>
      <c r="D9" s="13" t="s">
        <v>75</v>
      </c>
      <c r="E9" s="13" t="s">
        <v>578</v>
      </c>
      <c r="F9" s="13" t="s">
        <v>572</v>
      </c>
      <c r="G9" s="13" t="s">
        <v>579</v>
      </c>
      <c r="H9" s="13" t="s">
        <v>580</v>
      </c>
      <c r="I9" s="13" t="s">
        <v>49</v>
      </c>
      <c r="J9" s="13" t="s">
        <v>581</v>
      </c>
      <c r="K9" s="13" t="s">
        <v>805</v>
      </c>
      <c r="L9" s="13" t="s">
        <v>4</v>
      </c>
      <c r="M9" s="13"/>
      <c r="N9" s="13"/>
      <c r="O9" s="13"/>
    </row>
    <row r="10" spans="1:15" ht="45.75" customHeight="1" x14ac:dyDescent="0.35">
      <c r="A10" s="13" t="s">
        <v>582</v>
      </c>
      <c r="B10" s="13" t="s">
        <v>16</v>
      </c>
      <c r="C10" s="13" t="s">
        <v>583</v>
      </c>
      <c r="D10" s="13" t="s">
        <v>75</v>
      </c>
      <c r="E10" s="13" t="s">
        <v>584</v>
      </c>
      <c r="F10" s="13" t="s">
        <v>585</v>
      </c>
      <c r="G10" s="13" t="s">
        <v>586</v>
      </c>
      <c r="H10" s="13" t="s">
        <v>587</v>
      </c>
      <c r="I10" s="13" t="s">
        <v>49</v>
      </c>
      <c r="J10" s="13" t="s">
        <v>588</v>
      </c>
      <c r="K10" s="13" t="s">
        <v>806</v>
      </c>
      <c r="L10" s="13" t="s">
        <v>4</v>
      </c>
      <c r="M10" s="13"/>
      <c r="N10" s="13"/>
      <c r="O10" s="13"/>
    </row>
    <row r="11" spans="1:15" ht="45.75" customHeight="1" x14ac:dyDescent="0.35">
      <c r="A11" s="13" t="s">
        <v>589</v>
      </c>
      <c r="B11" s="13" t="s">
        <v>16</v>
      </c>
      <c r="C11" s="13" t="s">
        <v>590</v>
      </c>
      <c r="D11" s="13" t="s">
        <v>75</v>
      </c>
      <c r="E11" s="13" t="s">
        <v>591</v>
      </c>
      <c r="F11" s="13" t="s">
        <v>150</v>
      </c>
      <c r="G11" s="13" t="s">
        <v>592</v>
      </c>
      <c r="H11" s="13" t="s">
        <v>593</v>
      </c>
      <c r="I11" s="13" t="s">
        <v>49</v>
      </c>
      <c r="J11" s="13" t="s">
        <v>594</v>
      </c>
      <c r="K11" s="13" t="s">
        <v>807</v>
      </c>
      <c r="L11" s="13" t="s">
        <v>4</v>
      </c>
      <c r="M11" s="13"/>
      <c r="N11" s="13"/>
      <c r="O11" s="13"/>
    </row>
    <row r="12" spans="1:15" ht="45.75" customHeight="1" x14ac:dyDescent="0.35">
      <c r="A12" s="13" t="s">
        <v>595</v>
      </c>
      <c r="B12" s="13" t="s">
        <v>16</v>
      </c>
      <c r="C12" s="13" t="s">
        <v>590</v>
      </c>
      <c r="D12" s="13" t="s">
        <v>75</v>
      </c>
      <c r="E12" s="13" t="s">
        <v>596</v>
      </c>
      <c r="F12" s="13" t="s">
        <v>474</v>
      </c>
      <c r="G12" s="13" t="s">
        <v>60</v>
      </c>
      <c r="H12" s="13" t="s">
        <v>121</v>
      </c>
      <c r="I12" s="13" t="s">
        <v>130</v>
      </c>
      <c r="J12" s="13" t="s">
        <v>597</v>
      </c>
      <c r="K12" s="13" t="s">
        <v>803</v>
      </c>
      <c r="L12" s="13" t="s">
        <v>4</v>
      </c>
      <c r="M12" s="13"/>
      <c r="N12" s="13"/>
      <c r="O12" s="13"/>
    </row>
    <row r="13" spans="1:15" ht="45.75" customHeight="1" x14ac:dyDescent="0.35">
      <c r="A13" s="13" t="s">
        <v>598</v>
      </c>
      <c r="B13" s="13" t="s">
        <v>16</v>
      </c>
      <c r="C13" s="13" t="s">
        <v>599</v>
      </c>
      <c r="D13" s="13" t="s">
        <v>75</v>
      </c>
      <c r="E13" s="13" t="s">
        <v>600</v>
      </c>
      <c r="F13" s="13" t="s">
        <v>572</v>
      </c>
      <c r="G13" s="13" t="s">
        <v>601</v>
      </c>
      <c r="H13" s="13" t="s">
        <v>574</v>
      </c>
      <c r="I13" s="13" t="s">
        <v>49</v>
      </c>
      <c r="J13" s="13" t="s">
        <v>602</v>
      </c>
      <c r="K13" s="13" t="s">
        <v>808</v>
      </c>
      <c r="L13" s="13" t="s">
        <v>5</v>
      </c>
      <c r="M13" s="13"/>
      <c r="N13" s="13"/>
      <c r="O13" s="13"/>
    </row>
    <row r="14" spans="1:15" ht="45.75" customHeight="1" x14ac:dyDescent="0.35">
      <c r="A14" s="13" t="s">
        <v>603</v>
      </c>
      <c r="B14" s="13" t="s">
        <v>16</v>
      </c>
      <c r="C14" s="13" t="s">
        <v>604</v>
      </c>
      <c r="D14" s="13" t="s">
        <v>75</v>
      </c>
      <c r="E14" s="13" t="s">
        <v>605</v>
      </c>
      <c r="F14" s="13" t="s">
        <v>585</v>
      </c>
      <c r="G14" s="13" t="s">
        <v>606</v>
      </c>
      <c r="H14" s="13" t="s">
        <v>243</v>
      </c>
      <c r="I14" s="13" t="s">
        <v>49</v>
      </c>
      <c r="J14" s="13" t="s">
        <v>607</v>
      </c>
      <c r="K14" s="13" t="s">
        <v>809</v>
      </c>
      <c r="L14" s="13" t="s">
        <v>4</v>
      </c>
      <c r="M14" s="13"/>
      <c r="N14" s="13"/>
      <c r="O14" s="13"/>
    </row>
    <row r="15" spans="1:15" ht="45.75" customHeight="1" x14ac:dyDescent="0.35">
      <c r="A15" s="13" t="s">
        <v>608</v>
      </c>
      <c r="B15" s="13" t="s">
        <v>16</v>
      </c>
      <c r="C15" s="13" t="s">
        <v>609</v>
      </c>
      <c r="D15" s="13" t="s">
        <v>75</v>
      </c>
      <c r="E15" s="13" t="s">
        <v>610</v>
      </c>
      <c r="F15" s="13" t="s">
        <v>611</v>
      </c>
      <c r="G15" s="13" t="s">
        <v>612</v>
      </c>
      <c r="H15" s="13" t="s">
        <v>121</v>
      </c>
      <c r="I15" s="13" t="s">
        <v>49</v>
      </c>
      <c r="J15" s="13" t="s">
        <v>613</v>
      </c>
      <c r="K15" s="13" t="s">
        <v>810</v>
      </c>
      <c r="L15" s="13" t="s">
        <v>4</v>
      </c>
      <c r="M15" s="13"/>
      <c r="N15" s="13"/>
      <c r="O15" s="13"/>
    </row>
    <row r="16" spans="1:15" ht="45.75" customHeight="1" x14ac:dyDescent="0.35">
      <c r="A16" s="13" t="s">
        <v>614</v>
      </c>
      <c r="B16" s="13" t="s">
        <v>16</v>
      </c>
      <c r="C16" s="13" t="s">
        <v>609</v>
      </c>
      <c r="D16" s="13" t="s">
        <v>75</v>
      </c>
      <c r="E16" s="13" t="s">
        <v>615</v>
      </c>
      <c r="F16" s="13" t="s">
        <v>125</v>
      </c>
      <c r="G16" s="13" t="s">
        <v>60</v>
      </c>
      <c r="H16" s="13" t="s">
        <v>121</v>
      </c>
      <c r="I16" s="13" t="s">
        <v>130</v>
      </c>
      <c r="J16" s="13" t="s">
        <v>616</v>
      </c>
      <c r="K16" s="13" t="s">
        <v>754</v>
      </c>
      <c r="L16" s="13" t="s">
        <v>4</v>
      </c>
      <c r="M16" s="13"/>
      <c r="N16" s="13"/>
      <c r="O16" s="13"/>
    </row>
    <row r="17" spans="1:15" ht="45.75" customHeight="1" x14ac:dyDescent="0.35">
      <c r="A17" s="13" t="s">
        <v>617</v>
      </c>
      <c r="B17" s="13" t="s">
        <v>16</v>
      </c>
      <c r="C17" s="13" t="s">
        <v>618</v>
      </c>
      <c r="D17" s="13" t="s">
        <v>75</v>
      </c>
      <c r="E17" s="13" t="s">
        <v>268</v>
      </c>
      <c r="F17" s="13" t="s">
        <v>248</v>
      </c>
      <c r="G17" s="13" t="s">
        <v>619</v>
      </c>
      <c r="H17" s="13" t="s">
        <v>620</v>
      </c>
      <c r="I17" s="13" t="s">
        <v>49</v>
      </c>
      <c r="J17" s="13" t="s">
        <v>621</v>
      </c>
      <c r="K17" s="13" t="s">
        <v>811</v>
      </c>
      <c r="L17" s="13" t="s">
        <v>4</v>
      </c>
      <c r="M17" s="13"/>
      <c r="N17" s="13"/>
      <c r="O17" s="13"/>
    </row>
    <row r="18" spans="1:15" ht="45.75" customHeight="1" x14ac:dyDescent="0.35">
      <c r="A18" s="13" t="s">
        <v>622</v>
      </c>
      <c r="B18" s="13" t="s">
        <v>16</v>
      </c>
      <c r="C18" s="13" t="s">
        <v>623</v>
      </c>
      <c r="D18" s="13" t="s">
        <v>75</v>
      </c>
      <c r="E18" s="13" t="s">
        <v>624</v>
      </c>
      <c r="F18" s="13" t="s">
        <v>248</v>
      </c>
      <c r="G18" s="13" t="s">
        <v>625</v>
      </c>
      <c r="H18" s="13" t="s">
        <v>243</v>
      </c>
      <c r="I18" s="13" t="s">
        <v>49</v>
      </c>
      <c r="J18" s="13" t="s">
        <v>626</v>
      </c>
      <c r="K18" s="13" t="s">
        <v>812</v>
      </c>
      <c r="L18" s="13" t="s">
        <v>4</v>
      </c>
      <c r="M18" s="13"/>
      <c r="N18" s="13"/>
      <c r="O18" s="13"/>
    </row>
    <row r="19" spans="1:15" ht="45.75" customHeight="1" x14ac:dyDescent="0.35">
      <c r="A19" s="13" t="s">
        <v>627</v>
      </c>
      <c r="B19" s="13" t="s">
        <v>16</v>
      </c>
      <c r="C19" s="13" t="s">
        <v>628</v>
      </c>
      <c r="D19" s="13" t="s">
        <v>75</v>
      </c>
      <c r="E19" s="13" t="s">
        <v>629</v>
      </c>
      <c r="F19" s="13" t="s">
        <v>361</v>
      </c>
      <c r="G19" s="13" t="s">
        <v>630</v>
      </c>
      <c r="H19" s="13" t="s">
        <v>243</v>
      </c>
      <c r="I19" s="13" t="s">
        <v>49</v>
      </c>
      <c r="J19" s="13" t="s">
        <v>631</v>
      </c>
      <c r="K19" s="13" t="s">
        <v>813</v>
      </c>
      <c r="L19" s="13" t="s">
        <v>4</v>
      </c>
      <c r="M19" s="13"/>
      <c r="N19" s="13"/>
      <c r="O19" s="13"/>
    </row>
    <row r="20" spans="1:15" ht="45.75" customHeight="1" x14ac:dyDescent="0.35">
      <c r="A20" s="13" t="s">
        <v>632</v>
      </c>
      <c r="B20" s="13" t="s">
        <v>16</v>
      </c>
      <c r="C20" s="13" t="s">
        <v>633</v>
      </c>
      <c r="D20" s="13" t="s">
        <v>75</v>
      </c>
      <c r="E20" s="13" t="s">
        <v>634</v>
      </c>
      <c r="F20" s="13" t="s">
        <v>572</v>
      </c>
      <c r="G20" s="13" t="s">
        <v>635</v>
      </c>
      <c r="H20" s="13" t="s">
        <v>636</v>
      </c>
      <c r="I20" s="13" t="s">
        <v>49</v>
      </c>
      <c r="J20" s="13" t="s">
        <v>637</v>
      </c>
      <c r="K20" s="13" t="s">
        <v>814</v>
      </c>
      <c r="L20" s="13" t="s">
        <v>4</v>
      </c>
      <c r="M20" s="13"/>
      <c r="N20" s="13"/>
      <c r="O20" s="13"/>
    </row>
    <row r="21" spans="1:15" ht="45.75" customHeight="1" x14ac:dyDescent="0.35">
      <c r="A21" s="13" t="s">
        <v>638</v>
      </c>
      <c r="B21" s="13" t="s">
        <v>16</v>
      </c>
      <c r="C21" s="13" t="s">
        <v>639</v>
      </c>
      <c r="D21" s="13" t="s">
        <v>75</v>
      </c>
      <c r="E21" s="13" t="s">
        <v>640</v>
      </c>
      <c r="F21" s="13" t="s">
        <v>572</v>
      </c>
      <c r="G21" s="13" t="s">
        <v>641</v>
      </c>
      <c r="H21" s="13" t="s">
        <v>574</v>
      </c>
      <c r="I21" s="13" t="s">
        <v>49</v>
      </c>
      <c r="J21" s="13" t="s">
        <v>642</v>
      </c>
      <c r="K21" s="13" t="s">
        <v>815</v>
      </c>
      <c r="L21" s="13" t="s">
        <v>4</v>
      </c>
      <c r="M21" s="13"/>
      <c r="N21" s="13"/>
      <c r="O21" s="13"/>
    </row>
    <row r="22" spans="1:15" ht="45.75" customHeight="1" x14ac:dyDescent="0.35">
      <c r="A22" s="13" t="s">
        <v>643</v>
      </c>
      <c r="B22" s="13" t="s">
        <v>16</v>
      </c>
      <c r="C22" s="13" t="s">
        <v>644</v>
      </c>
      <c r="D22" s="13" t="s">
        <v>75</v>
      </c>
      <c r="E22" s="13" t="s">
        <v>645</v>
      </c>
      <c r="F22" s="13" t="s">
        <v>361</v>
      </c>
      <c r="G22" s="13" t="s">
        <v>646</v>
      </c>
      <c r="H22" s="13" t="s">
        <v>574</v>
      </c>
      <c r="I22" s="13" t="s">
        <v>49</v>
      </c>
      <c r="J22" s="13" t="s">
        <v>647</v>
      </c>
      <c r="K22" s="13" t="s">
        <v>816</v>
      </c>
      <c r="L22" s="13" t="s">
        <v>4</v>
      </c>
      <c r="M22" s="13"/>
      <c r="N22" s="13"/>
      <c r="O22" s="13"/>
    </row>
    <row r="23" spans="1:15" ht="45.75" customHeight="1" x14ac:dyDescent="0.35">
      <c r="A23" s="13" t="s">
        <v>648</v>
      </c>
      <c r="B23" s="13" t="s">
        <v>16</v>
      </c>
      <c r="C23" s="13" t="s">
        <v>649</v>
      </c>
      <c r="D23" s="13" t="s">
        <v>75</v>
      </c>
      <c r="E23" s="13" t="s">
        <v>650</v>
      </c>
      <c r="F23" s="13" t="s">
        <v>572</v>
      </c>
      <c r="G23" s="13" t="s">
        <v>651</v>
      </c>
      <c r="H23" s="13" t="s">
        <v>243</v>
      </c>
      <c r="I23" s="13" t="s">
        <v>49</v>
      </c>
      <c r="J23" s="13" t="s">
        <v>652</v>
      </c>
      <c r="K23" s="13" t="s">
        <v>817</v>
      </c>
      <c r="L23" s="13" t="s">
        <v>4</v>
      </c>
      <c r="M23" s="13"/>
      <c r="N23" s="13"/>
      <c r="O23" s="13"/>
    </row>
    <row r="24" spans="1:15" ht="45.75" customHeight="1" x14ac:dyDescent="0.35">
      <c r="A24" s="13" t="s">
        <v>653</v>
      </c>
      <c r="B24" s="13" t="s">
        <v>16</v>
      </c>
      <c r="C24" s="13" t="s">
        <v>654</v>
      </c>
      <c r="D24" s="13" t="s">
        <v>75</v>
      </c>
      <c r="E24" s="13" t="s">
        <v>655</v>
      </c>
      <c r="F24" s="13" t="s">
        <v>361</v>
      </c>
      <c r="G24" s="13" t="s">
        <v>656</v>
      </c>
      <c r="H24" s="13" t="s">
        <v>593</v>
      </c>
      <c r="I24" s="13" t="s">
        <v>49</v>
      </c>
      <c r="J24" s="13" t="s">
        <v>657</v>
      </c>
      <c r="K24" s="13" t="s">
        <v>815</v>
      </c>
      <c r="L24" s="13" t="s">
        <v>4</v>
      </c>
      <c r="M24" s="13"/>
      <c r="N24" s="13"/>
      <c r="O24" s="13"/>
    </row>
  </sheetData>
  <autoFilter ref="A4:O24"/>
  <mergeCells count="2">
    <mergeCell ref="A1:O1"/>
    <mergeCell ref="A2:O2"/>
  </mergeCells>
  <conditionalFormatting sqref="L5:L24">
    <cfRule type="cellIs" dxfId="7" priority="2" operator="equal">
      <formula>"Pass"</formula>
    </cfRule>
    <cfRule type="cellIs" dxfId="6" priority="3" operator="equal">
      <formula>"Fail"</formula>
    </cfRule>
    <cfRule type="cellIs" dxfId="5" priority="4" operator="equal">
      <formula>"Blocked"</formula>
    </cfRule>
    <cfRule type="cellIs" dxfId="4" priority="5" operator="equal">
      <formula>"Not Tested"</formula>
    </cfRule>
  </conditionalFormatting>
  <dataValidations count="1">
    <dataValidation type="list" allowBlank="1" sqref="L5:L24">
      <formula1>"Not Tested,Pass,Fail,Blocked"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showGridLines="0" tabSelected="1" zoomScale="67" zoomScaleNormal="67" workbookViewId="0">
      <pane ySplit="4" topLeftCell="A8" activePane="bottomLeft" state="frozen"/>
      <selection pane="bottomLeft" activeCell="J11" sqref="J11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30" customWidth="1"/>
    <col min="4" max="4" width="9" customWidth="1"/>
    <col min="5" max="5" width="34" customWidth="1"/>
    <col min="6" max="6" width="14" customWidth="1"/>
    <col min="7" max="7" width="26" customWidth="1"/>
    <col min="8" max="8" width="42" customWidth="1"/>
    <col min="9" max="9" width="13" customWidth="1"/>
    <col min="10" max="10" width="34" customWidth="1"/>
    <col min="11" max="11" width="26" customWidth="1"/>
    <col min="12" max="12" width="11" customWidth="1"/>
    <col min="13" max="13" width="24" customWidth="1"/>
    <col min="14" max="14" width="12" customWidth="1"/>
    <col min="15" max="15" width="13" customWidth="1"/>
  </cols>
  <sheetData>
    <row r="1" spans="1:15" ht="21.75" customHeight="1" x14ac:dyDescent="0.4">
      <c r="A1" s="1" t="s">
        <v>658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35">
      <c r="A2" s="2" t="s">
        <v>659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 ht="27.75" customHeight="1" x14ac:dyDescent="0.35">
      <c r="A4" s="5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J4" s="5" t="s">
        <v>36</v>
      </c>
      <c r="K4" s="5" t="s">
        <v>37</v>
      </c>
      <c r="L4" s="5" t="s">
        <v>38</v>
      </c>
      <c r="M4" s="5" t="s">
        <v>39</v>
      </c>
      <c r="N4" s="5" t="s">
        <v>40</v>
      </c>
      <c r="O4" s="5" t="s">
        <v>41</v>
      </c>
    </row>
    <row r="5" spans="1:15" ht="45.75" customHeight="1" x14ac:dyDescent="0.35">
      <c r="A5" s="13" t="s">
        <v>660</v>
      </c>
      <c r="B5" s="13" t="s">
        <v>17</v>
      </c>
      <c r="C5" s="13" t="s">
        <v>162</v>
      </c>
      <c r="D5" s="13" t="s">
        <v>44</v>
      </c>
      <c r="E5" s="13" t="s">
        <v>661</v>
      </c>
      <c r="F5" s="13" t="s">
        <v>662</v>
      </c>
      <c r="G5" s="13" t="s">
        <v>663</v>
      </c>
      <c r="H5" s="13" t="s">
        <v>664</v>
      </c>
      <c r="I5" s="13" t="s">
        <v>665</v>
      </c>
      <c r="J5" s="13" t="s">
        <v>666</v>
      </c>
      <c r="K5" s="13" t="s">
        <v>755</v>
      </c>
      <c r="L5" s="13" t="s">
        <v>4</v>
      </c>
      <c r="M5" s="13"/>
      <c r="N5" s="13"/>
      <c r="O5" s="13"/>
    </row>
    <row r="6" spans="1:15" ht="45.75" customHeight="1" x14ac:dyDescent="0.35">
      <c r="A6" s="13" t="s">
        <v>667</v>
      </c>
      <c r="B6" s="13" t="s">
        <v>17</v>
      </c>
      <c r="C6" s="13" t="s">
        <v>219</v>
      </c>
      <c r="D6" s="13" t="s">
        <v>44</v>
      </c>
      <c r="E6" s="13" t="s">
        <v>668</v>
      </c>
      <c r="F6" s="13" t="s">
        <v>669</v>
      </c>
      <c r="G6" s="13" t="s">
        <v>60</v>
      </c>
      <c r="H6" s="13" t="s">
        <v>670</v>
      </c>
      <c r="I6" s="13" t="s">
        <v>130</v>
      </c>
      <c r="J6" s="13" t="s">
        <v>671</v>
      </c>
      <c r="K6" s="13" t="s">
        <v>754</v>
      </c>
      <c r="L6" s="13" t="s">
        <v>4</v>
      </c>
      <c r="M6" s="13"/>
      <c r="N6" s="13"/>
      <c r="O6" s="13"/>
    </row>
    <row r="7" spans="1:15" ht="45.75" customHeight="1" x14ac:dyDescent="0.35">
      <c r="A7" s="13" t="s">
        <v>672</v>
      </c>
      <c r="B7" s="13" t="s">
        <v>17</v>
      </c>
      <c r="C7" s="13" t="s">
        <v>284</v>
      </c>
      <c r="D7" s="13" t="s">
        <v>44</v>
      </c>
      <c r="E7" s="13" t="s">
        <v>673</v>
      </c>
      <c r="F7" s="13" t="s">
        <v>674</v>
      </c>
      <c r="G7" s="13" t="s">
        <v>60</v>
      </c>
      <c r="H7" s="13" t="s">
        <v>675</v>
      </c>
      <c r="I7" s="13" t="s">
        <v>130</v>
      </c>
      <c r="J7" s="13" t="s">
        <v>676</v>
      </c>
      <c r="K7" s="13" t="s">
        <v>754</v>
      </c>
      <c r="L7" s="13" t="s">
        <v>4</v>
      </c>
      <c r="M7" s="13"/>
      <c r="N7" s="13"/>
      <c r="O7" s="13"/>
    </row>
    <row r="8" spans="1:15" ht="45.75" customHeight="1" x14ac:dyDescent="0.35">
      <c r="A8" s="13" t="s">
        <v>677</v>
      </c>
      <c r="B8" s="13" t="s">
        <v>17</v>
      </c>
      <c r="C8" s="13" t="s">
        <v>372</v>
      </c>
      <c r="D8" s="13" t="s">
        <v>44</v>
      </c>
      <c r="E8" s="13" t="s">
        <v>678</v>
      </c>
      <c r="F8" s="13" t="s">
        <v>679</v>
      </c>
      <c r="G8" s="13" t="s">
        <v>60</v>
      </c>
      <c r="H8" s="13" t="s">
        <v>384</v>
      </c>
      <c r="I8" s="13" t="s">
        <v>130</v>
      </c>
      <c r="J8" s="13" t="s">
        <v>680</v>
      </c>
      <c r="K8" s="13" t="s">
        <v>754</v>
      </c>
      <c r="L8" s="13" t="s">
        <v>4</v>
      </c>
      <c r="M8" s="13"/>
      <c r="N8" s="13"/>
      <c r="O8" s="13"/>
    </row>
    <row r="9" spans="1:15" ht="45.75" customHeight="1" x14ac:dyDescent="0.35">
      <c r="A9" s="13" t="s">
        <v>681</v>
      </c>
      <c r="B9" s="13" t="s">
        <v>17</v>
      </c>
      <c r="C9" s="13" t="s">
        <v>452</v>
      </c>
      <c r="D9" s="13" t="s">
        <v>44</v>
      </c>
      <c r="E9" s="13" t="s">
        <v>682</v>
      </c>
      <c r="F9" s="13" t="s">
        <v>683</v>
      </c>
      <c r="G9" s="13" t="s">
        <v>60</v>
      </c>
      <c r="H9" s="13" t="s">
        <v>684</v>
      </c>
      <c r="I9" s="13" t="s">
        <v>130</v>
      </c>
      <c r="J9" s="13" t="s">
        <v>685</v>
      </c>
      <c r="K9" s="13" t="s">
        <v>755</v>
      </c>
      <c r="L9" s="13" t="s">
        <v>4</v>
      </c>
      <c r="M9" s="13"/>
      <c r="N9" s="13"/>
      <c r="O9" s="13"/>
    </row>
    <row r="10" spans="1:15" ht="45.75" customHeight="1" x14ac:dyDescent="0.35">
      <c r="A10" s="13" t="s">
        <v>686</v>
      </c>
      <c r="B10" s="13" t="s">
        <v>17</v>
      </c>
      <c r="C10" s="13" t="s">
        <v>500</v>
      </c>
      <c r="D10" s="13" t="s">
        <v>44</v>
      </c>
      <c r="E10" s="13" t="s">
        <v>687</v>
      </c>
      <c r="F10" s="13" t="s">
        <v>688</v>
      </c>
      <c r="G10" s="13" t="s">
        <v>60</v>
      </c>
      <c r="H10" s="13" t="s">
        <v>689</v>
      </c>
      <c r="I10" s="13" t="s">
        <v>130</v>
      </c>
      <c r="J10" s="13" t="s">
        <v>685</v>
      </c>
      <c r="K10" s="13" t="s">
        <v>754</v>
      </c>
      <c r="L10" s="13" t="s">
        <v>4</v>
      </c>
      <c r="M10" s="13"/>
      <c r="N10" s="13"/>
      <c r="O10" s="13"/>
    </row>
    <row r="11" spans="1:15" ht="45.75" customHeight="1" x14ac:dyDescent="0.35">
      <c r="A11" s="13" t="s">
        <v>690</v>
      </c>
      <c r="B11" s="13" t="s">
        <v>17</v>
      </c>
      <c r="C11" s="13" t="s">
        <v>350</v>
      </c>
      <c r="D11" s="13" t="s">
        <v>44</v>
      </c>
      <c r="E11" s="13" t="s">
        <v>691</v>
      </c>
      <c r="F11" s="13" t="s">
        <v>692</v>
      </c>
      <c r="G11" s="13" t="s">
        <v>60</v>
      </c>
      <c r="H11" s="13" t="s">
        <v>693</v>
      </c>
      <c r="I11" s="13" t="s">
        <v>130</v>
      </c>
      <c r="J11" s="13" t="s">
        <v>676</v>
      </c>
      <c r="K11" s="13" t="s">
        <v>754</v>
      </c>
      <c r="L11" s="13" t="s">
        <v>4</v>
      </c>
      <c r="M11" s="13"/>
      <c r="N11" s="13"/>
      <c r="O11" s="13"/>
    </row>
    <row r="12" spans="1:15" ht="45.75" customHeight="1" x14ac:dyDescent="0.35">
      <c r="A12" s="13" t="s">
        <v>694</v>
      </c>
      <c r="B12" s="13" t="s">
        <v>17</v>
      </c>
      <c r="C12" s="13" t="s">
        <v>644</v>
      </c>
      <c r="D12" s="13" t="s">
        <v>75</v>
      </c>
      <c r="E12" s="13" t="s">
        <v>695</v>
      </c>
      <c r="F12" s="13" t="s">
        <v>688</v>
      </c>
      <c r="G12" s="13" t="s">
        <v>60</v>
      </c>
      <c r="H12" s="13" t="s">
        <v>121</v>
      </c>
      <c r="I12" s="13" t="s">
        <v>130</v>
      </c>
      <c r="J12" s="13" t="s">
        <v>685</v>
      </c>
      <c r="K12" s="13" t="s">
        <v>754</v>
      </c>
      <c r="L12" s="13" t="s">
        <v>4</v>
      </c>
      <c r="M12" s="13"/>
      <c r="N12" s="13"/>
      <c r="O12" s="13"/>
    </row>
    <row r="13" spans="1:15" ht="45.75" customHeight="1" x14ac:dyDescent="0.35">
      <c r="A13" s="13" t="s">
        <v>696</v>
      </c>
      <c r="B13" s="13" t="s">
        <v>17</v>
      </c>
      <c r="C13" s="13" t="s">
        <v>697</v>
      </c>
      <c r="D13" s="13" t="s">
        <v>75</v>
      </c>
      <c r="E13" s="13" t="s">
        <v>698</v>
      </c>
      <c r="F13" s="13" t="s">
        <v>444</v>
      </c>
      <c r="G13" s="13" t="s">
        <v>699</v>
      </c>
      <c r="H13" s="13" t="s">
        <v>700</v>
      </c>
      <c r="I13" s="13" t="s">
        <v>49</v>
      </c>
      <c r="J13" s="13" t="s">
        <v>701</v>
      </c>
      <c r="K13" s="13" t="s">
        <v>754</v>
      </c>
      <c r="L13" s="13" t="s">
        <v>4</v>
      </c>
      <c r="M13" s="13"/>
      <c r="N13" s="13"/>
      <c r="O13" s="13"/>
    </row>
    <row r="14" spans="1:15" ht="45.75" customHeight="1" x14ac:dyDescent="0.35">
      <c r="A14" s="13" t="s">
        <v>702</v>
      </c>
      <c r="B14" s="13" t="s">
        <v>17</v>
      </c>
      <c r="C14" s="13" t="s">
        <v>118</v>
      </c>
      <c r="D14" s="13" t="s">
        <v>44</v>
      </c>
      <c r="E14" s="13" t="s">
        <v>703</v>
      </c>
      <c r="F14" s="13" t="s">
        <v>125</v>
      </c>
      <c r="G14" s="13" t="s">
        <v>704</v>
      </c>
      <c r="H14" s="13" t="s">
        <v>705</v>
      </c>
      <c r="I14" s="13" t="s">
        <v>706</v>
      </c>
      <c r="J14" s="13" t="s">
        <v>707</v>
      </c>
      <c r="K14" s="13" t="s">
        <v>754</v>
      </c>
      <c r="L14" s="13" t="s">
        <v>4</v>
      </c>
      <c r="M14" s="13"/>
      <c r="N14" s="13"/>
      <c r="O14" s="13"/>
    </row>
    <row r="15" spans="1:15" ht="45.75" customHeight="1" x14ac:dyDescent="0.35">
      <c r="A15" s="13" t="s">
        <v>708</v>
      </c>
      <c r="B15" s="13" t="s">
        <v>17</v>
      </c>
      <c r="C15" s="13" t="s">
        <v>709</v>
      </c>
      <c r="D15" s="13" t="s">
        <v>75</v>
      </c>
      <c r="E15" s="13" t="s">
        <v>710</v>
      </c>
      <c r="F15" s="13" t="s">
        <v>125</v>
      </c>
      <c r="G15" s="13" t="s">
        <v>60</v>
      </c>
      <c r="H15" s="13" t="s">
        <v>121</v>
      </c>
      <c r="I15" s="13" t="s">
        <v>130</v>
      </c>
      <c r="J15" s="13" t="s">
        <v>711</v>
      </c>
      <c r="K15" s="13" t="s">
        <v>754</v>
      </c>
      <c r="L15" s="13" t="s">
        <v>4</v>
      </c>
      <c r="M15" s="13"/>
      <c r="N15" s="13"/>
      <c r="O15" s="13"/>
    </row>
    <row r="16" spans="1:15" x14ac:dyDescent="0.35">
      <c r="K16" s="13"/>
    </row>
  </sheetData>
  <autoFilter ref="A4:O15"/>
  <mergeCells count="2">
    <mergeCell ref="A1:O1"/>
    <mergeCell ref="A2:O2"/>
  </mergeCells>
  <conditionalFormatting sqref="L5:L15">
    <cfRule type="cellIs" dxfId="3" priority="2" operator="equal">
      <formula>"Pass"</formula>
    </cfRule>
    <cfRule type="cellIs" dxfId="2" priority="3" operator="equal">
      <formula>"Fail"</formula>
    </cfRule>
    <cfRule type="cellIs" dxfId="1" priority="4" operator="equal">
      <formula>"Blocked"</formula>
    </cfRule>
    <cfRule type="cellIs" dxfId="0" priority="5" operator="equal">
      <formula>"Not Tested"</formula>
    </cfRule>
  </conditionalFormatting>
  <dataValidations count="1">
    <dataValidation type="list" allowBlank="1" sqref="L5:L15">
      <formula1>"Not Tested,Pass,Fail,Blocked"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Auth</vt:lpstr>
      <vt:lpstr>Branches</vt:lpstr>
      <vt:lpstr>Inventory</vt:lpstr>
      <vt:lpstr>Suppliers</vt:lpstr>
      <vt:lpstr>Sales-POS</vt:lpstr>
      <vt:lpstr>Finance</vt:lpstr>
      <vt:lpstr>CRM</vt:lpstr>
      <vt:lpstr>Analytics</vt:lpstr>
      <vt:lpstr>RBAC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2026-09-05T18:49:00Z</dcterms:created>
  <dcterms:modified xsi:type="dcterms:W3CDTF">2026-09-11T14:36:59Z</dcterms:modified>
  <dc:language>en-US</dc:language>
</cp:coreProperties>
</file>